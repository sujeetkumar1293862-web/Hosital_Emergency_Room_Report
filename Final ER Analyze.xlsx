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c2efb13d7d6b3fdb/Desktop/Excel Project/Excel Project/"/>
    </mc:Choice>
  </mc:AlternateContent>
  <xr:revisionPtr revIDLastSave="6" documentId="13_ncr:1_{C1C5C0E8-E085-4629-AF46-72712A0A2187}" xr6:coauthVersionLast="47" xr6:coauthVersionMax="47" xr10:uidLastSave="{69951E41-EABE-47E8-B130-48AB0A1FAD1F}"/>
  <bookViews>
    <workbookView xWindow="-108" yWindow="-108" windowWidth="23256" windowHeight="12456" firstSheet="1" activeTab="4" xr2:uid="{B3355687-35F0-4853-9162-EF29DD604DA2}"/>
  </bookViews>
  <sheets>
    <sheet name="Pivot Report" sheetId="1" r:id="rId1"/>
    <sheet name="Dashboard" sheetId="2" r:id="rId2"/>
    <sheet name="Daily ER no. of patient" sheetId="3" r:id="rId3"/>
    <sheet name="Avegrage wait time trend" sheetId="4" r:id="rId4"/>
    <sheet name="Satisfaction Score daily trends"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87bcfc1-c383-4ee3-ade0-4b80976370e8" name="Hospital Emergency Room Data" connection="Query - Hospital Emergency Room Data"/>
          <x15:modelTable id="Calender Table_8c6ca3e0-8096-4dc7-b16f-182e147bd9cb"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1" l="1"/>
  <c r="B37" i="1"/>
  <c r="C37" i="1"/>
  <c r="B38" i="1"/>
  <c r="C38" i="1"/>
  <c r="A3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2BE73-1A00-452E-9FCB-74204A8E62E4}" name="Query - Calender Table" description="Connection to the 'Calender Table' query in the workbook." type="100" refreshedVersion="8" minRefreshableVersion="5">
    <extLst>
      <ext xmlns:x15="http://schemas.microsoft.com/office/spreadsheetml/2010/11/main" uri="{DE250136-89BD-433C-8126-D09CA5730AF9}">
        <x15:connection id="0a224b8f-1962-4bec-8d7f-c9cff2c4f342">
          <x15:oledbPr connection="Provider=Microsoft.Mashup.OleDb.1;Data Source=$Workbook$;Location=&quot;Calender Table&quot;;Extended Properties=&quot;&quot;">
            <x15:dbTables>
              <x15:dbTable name="Calender Table"/>
            </x15:dbTables>
          </x15:oledbPr>
        </x15:connection>
      </ext>
    </extLst>
  </connection>
  <connection id="2" xr16:uid="{CA7A7AAC-C716-49FD-B045-ADAE014480F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6e5b5dd-4b3a-4e51-899f-6314d14bfdc6"/>
      </ext>
    </extLst>
  </connection>
  <connection id="3" xr16:uid="{C21E8FC1-F914-4F2A-9797-885BF5614BC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<sst xmlns="http://schemas.openxmlformats.org/spreadsheetml/2006/main" count="152" uniqueCount="75">
  <si>
    <t>Distinct Count of Patient Id</t>
  </si>
  <si>
    <t>No. of patient</t>
  </si>
  <si>
    <t>Average of Patient Waittime</t>
  </si>
  <si>
    <t>Average of Patient Satisfaction Score</t>
  </si>
  <si>
    <t>Row Labels</t>
  </si>
  <si>
    <t>Grand Total</t>
  </si>
  <si>
    <t>Showing a daily trend with an area sarkline to spot patterns like busy days of seasonal trends.</t>
  </si>
  <si>
    <t>Daily trends no. of patient</t>
  </si>
  <si>
    <t>Average wait time</t>
  </si>
  <si>
    <t>Showing a daily trend with an area sparkline to spot patterns like busy days or seasonal trends.</t>
  </si>
  <si>
    <t>Use an area Chart to show trends, spot drops in satisfactiin,, and link them to busy times or challenges.</t>
  </si>
  <si>
    <t>Satisfaction Score daily trend</t>
  </si>
  <si>
    <t>Count of Patient Admission Flag</t>
  </si>
  <si>
    <t>Admited</t>
  </si>
  <si>
    <t>Not Admited</t>
  </si>
  <si>
    <t>Count of Patient Admission Flag2</t>
  </si>
  <si>
    <t>Admission Status</t>
  </si>
  <si>
    <t>% Status</t>
  </si>
  <si>
    <t>0-09</t>
  </si>
  <si>
    <t>10-19</t>
  </si>
  <si>
    <t>20-29</t>
  </si>
  <si>
    <t>30-39</t>
  </si>
  <si>
    <t>40-49</t>
  </si>
  <si>
    <t>50-59</t>
  </si>
  <si>
    <t>60-69</t>
  </si>
  <si>
    <t>70-79</t>
  </si>
  <si>
    <t>Count of Age Group</t>
  </si>
  <si>
    <t>Age Gorup  wise Analys</t>
  </si>
  <si>
    <t>Deley</t>
  </si>
  <si>
    <t>On Time</t>
  </si>
  <si>
    <t>Count of Patient attend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</si>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</sst>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b/>
      <sz val="12"/>
      <color theme="1"/>
      <name val="Aptos Narrow"/>
      <family val="2"/>
      <scheme val="minor"/>
    </font>
    <font>
      <b/>
      <sz val="12"/>
      <color theme="0"/>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3" tint="0.89999084444715716"/>
        <bgColor indexed="64"/>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3" fillId="4" borderId="0" xfId="0" applyFont="1" applyFill="1" applyAlignment="1">
      <alignment horizontal="center" vertical="center"/>
    </xf>
    <xf numFmtId="0" fontId="2" fillId="5" borderId="0" xfId="0" applyFont="1" applyFill="1"/>
    <xf numFmtId="9" fontId="2" fillId="5" borderId="0" xfId="1" applyFont="1" applyFill="1"/>
  </cellXfs>
  <cellStyles count="2">
    <cellStyle name="Normal" xfId="0" builtinId="0"/>
    <cellStyle name="Percent" xfId="1" builtinId="5"/>
  </cellStyles>
  <dxfs count="17">
    <dxf>
      <numFmt numFmtId="1" formatCode="0"/>
    </dxf>
    <dxf>
      <numFmt numFmtId="2" formatCode="0.0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font>
        <b/>
        <color theme="1"/>
      </font>
      <border>
        <bottom style="thin">
          <color theme="4"/>
        </bottom>
        <vertical/>
        <horizontal/>
      </border>
    </dxf>
    <dxf>
      <font>
        <b/>
        <i val="0"/>
        <color theme="1"/>
      </font>
      <fill>
        <patternFill patternType="solid">
          <bgColor theme="3" tint="0.89996032593768116"/>
        </patternFill>
      </fill>
      <border>
        <left style="thin">
          <color theme="4"/>
        </left>
        <right style="thin">
          <color theme="4"/>
        </right>
        <top style="thin">
          <color theme="4"/>
        </top>
        <bottom style="thin">
          <color theme="4"/>
        </bottom>
        <vertical/>
        <horizontal/>
      </border>
    </dxf>
    <dxf>
      <fill>
        <patternFill>
          <fgColor theme="4" tint="-0.24994659260841701"/>
          <bgColor theme="3" tint="0.749961851863155"/>
        </patternFill>
      </fill>
    </dxf>
  </dxfs>
  <tableStyles count="2" defaultTableStyle="TableStyleMedium2" defaultPivotStyle="PivotStyleLight16">
    <tableStyle name="Slicer Style 1" pivot="0" table="0" count="1" xr9:uid="{C2110145-9B9F-469B-8C68-22E8746B87F1}">
      <tableStyleElement type="wholeTable" dxfId="16"/>
    </tableStyle>
    <tableStyle name="SlicerStyleDark1 2" pivot="0" table="0" count="10" xr9:uid="{6FD59E67-2ABF-4354-BC22-2BD02FE94FFF}">
      <tableStyleElement type="wholeTable" dxfId="15"/>
      <tableStyleElement type="headerRow"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D748A71E-2EEF-482B-9020-C5CB16113CA5}" type="CELLRANGE">
                  <a:rPr lang="en-US"/>
                  <a:pPr/>
                  <a:t>[CELLRANGE]</a:t>
                </a:fld>
                <a:r>
                  <a:rPr lang="en-US" baseline="0"/>
                  <a:t>, </a:t>
                </a:r>
                <a:fld id="{C8B0B683-ED49-4FAB-BB58-35C5D44C2D01}"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94E68E9F-2192-4C2D-9A74-9386B2DB8140}"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315521628498727"/>
                  <c:h val="0.35345839221421926"/>
                </c:manualLayout>
              </c15:layout>
              <c15:showDataLabelsRange val="1"/>
            </c:ext>
          </c:extLst>
        </c:dLbl>
      </c:pivotFmt>
      <c:pivotFmt>
        <c:idx val="5"/>
        <c:spPr>
          <a:solidFill>
            <a:schemeClr val="accent1"/>
          </a:solidFill>
          <a:ln>
            <a:noFill/>
          </a:ln>
          <a:effectLst/>
        </c:spPr>
        <c:dLbl>
          <c:idx val="0"/>
          <c:layout>
            <c:manualLayout>
              <c:x val="6.0432569974554706E-2"/>
              <c:y val="1.20773176562776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315521628498727"/>
                  <c:h val="0.4102674317536455"/>
                </c:manualLayout>
              </c15:layout>
              <c15:showDataLabelsRange val="1"/>
            </c:ext>
          </c:extLst>
        </c:dLbl>
      </c:pivotFmt>
    </c:pivotFmts>
    <c:plotArea>
      <c:layout>
        <c:manualLayout>
          <c:layoutTarget val="inner"/>
          <c:xMode val="edge"/>
          <c:yMode val="edge"/>
          <c:x val="2.5067058925326659E-2"/>
          <c:y val="0"/>
          <c:w val="0.71356933748666052"/>
          <c:h val="1"/>
        </c:manualLayout>
      </c:layout>
      <c:barChart>
        <c:barDir val="bar"/>
        <c:grouping val="clustered"/>
        <c:varyColors val="0"/>
        <c:ser>
          <c:idx val="0"/>
          <c:order val="0"/>
          <c:tx>
            <c:strRef>
              <c:f>'Pivot Report'!$B$28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C153-4025-8904-0281AFC34BF3}"/>
              </c:ext>
            </c:extLst>
          </c:dPt>
          <c:dPt>
            <c:idx val="1"/>
            <c:invertIfNegative val="0"/>
            <c:bubble3D val="0"/>
            <c:extLst>
              <c:ext xmlns:c16="http://schemas.microsoft.com/office/drawing/2014/chart" uri="{C3380CC4-5D6E-409C-BE32-E72D297353CC}">
                <c16:uniqueId val="{00000001-C153-4025-8904-0281AFC34BF3}"/>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315521628498727"/>
                      <c:h val="0.35345839221421926"/>
                    </c:manualLayout>
                  </c15:layout>
                  <c15:showDataLabelsRange val="1"/>
                </c:ext>
                <c:ext xmlns:c16="http://schemas.microsoft.com/office/drawing/2014/chart" uri="{C3380CC4-5D6E-409C-BE32-E72D297353CC}">
                  <c16:uniqueId val="{00000000-C153-4025-8904-0281AFC34BF3}"/>
                </c:ext>
              </c:extLst>
            </c:dLbl>
            <c:dLbl>
              <c:idx val="1"/>
              <c:layout>
                <c:manualLayout>
                  <c:x val="6.0432569974554706E-2"/>
                  <c:y val="1.207731765627761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2315521628498727"/>
                      <c:h val="0.4102674317536455"/>
                    </c:manualLayout>
                  </c15:layout>
                  <c15:showDataLabelsRange val="1"/>
                </c:ext>
                <c:ext xmlns:c16="http://schemas.microsoft.com/office/drawing/2014/chart" uri="{C3380CC4-5D6E-409C-BE32-E72D297353CC}">
                  <c16:uniqueId val="{00000001-C153-4025-8904-0281AFC34B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Report'!$A$29:$A$31</c:f>
              <c:strCache>
                <c:ptCount val="2"/>
                <c:pt idx="0">
                  <c:v>Admited</c:v>
                </c:pt>
                <c:pt idx="1">
                  <c:v>Not Admited</c:v>
                </c:pt>
              </c:strCache>
            </c:strRef>
          </c:cat>
          <c:val>
            <c:numRef>
              <c:f>'Pivot Report'!$B$29:$B$31</c:f>
              <c:numCache>
                <c:formatCode>0</c:formatCode>
                <c:ptCount val="2"/>
                <c:pt idx="0">
                  <c:v>217</c:v>
                </c:pt>
                <c:pt idx="1">
                  <c:v>252</c:v>
                </c:pt>
              </c:numCache>
            </c:numRef>
          </c:val>
          <c:extLst>
            <c:ext xmlns:c16="http://schemas.microsoft.com/office/drawing/2014/chart" uri="{C3380CC4-5D6E-409C-BE32-E72D297353CC}">
              <c16:uniqueId val="{00000002-D643-47D6-8DCB-7CDD07B1DB72}"/>
            </c:ext>
          </c:extLst>
        </c:ser>
        <c:ser>
          <c:idx val="1"/>
          <c:order val="1"/>
          <c:tx>
            <c:strRef>
              <c:f>'Pivot Report'!$C$28</c:f>
              <c:strCache>
                <c:ptCount val="1"/>
                <c:pt idx="0">
                  <c:v>Count of Patient Admission Flag2</c:v>
                </c:pt>
              </c:strCache>
            </c:strRef>
          </c:tx>
          <c:spPr>
            <a:solidFill>
              <a:schemeClr val="accent2"/>
            </a:solidFill>
            <a:ln>
              <a:noFill/>
            </a:ln>
            <a:effectLst/>
          </c:spPr>
          <c:invertIfNegative val="0"/>
          <c:cat>
            <c:strRef>
              <c:f>'Pivot Report'!$A$29:$A$31</c:f>
              <c:strCache>
                <c:ptCount val="2"/>
                <c:pt idx="0">
                  <c:v>Admited</c:v>
                </c:pt>
                <c:pt idx="1">
                  <c:v>Not Admited</c:v>
                </c:pt>
              </c:strCache>
            </c:strRef>
          </c:cat>
          <c:val>
            <c:numRef>
              <c:f>'Pivot Report'!$C$29:$C$31</c:f>
              <c:numCache>
                <c:formatCode>0.00%</c:formatCode>
                <c:ptCount val="2"/>
                <c:pt idx="0">
                  <c:v>0.46268656716417911</c:v>
                </c:pt>
                <c:pt idx="1">
                  <c:v>0.53731343283582089</c:v>
                </c:pt>
              </c:numCache>
            </c:numRef>
          </c:val>
          <c:extLst>
            <c:ext xmlns:c16="http://schemas.microsoft.com/office/drawing/2014/chart" uri="{C3380CC4-5D6E-409C-BE32-E72D297353CC}">
              <c16:uniqueId val="{00000003-D643-47D6-8DCB-7CDD07B1DB72}"/>
            </c:ext>
          </c:extLst>
        </c:ser>
        <c:dLbls>
          <c:showLegendKey val="0"/>
          <c:showVal val="0"/>
          <c:showCatName val="0"/>
          <c:showSerName val="0"/>
          <c:showPercent val="0"/>
          <c:showBubbleSize val="0"/>
        </c:dLbls>
        <c:gapWidth val="182"/>
        <c:axId val="13628959"/>
        <c:axId val="13629439"/>
      </c:barChart>
      <c:catAx>
        <c:axId val="13628959"/>
        <c:scaling>
          <c:orientation val="minMax"/>
        </c:scaling>
        <c:delete val="1"/>
        <c:axPos val="l"/>
        <c:numFmt formatCode="General" sourceLinked="1"/>
        <c:majorTickMark val="none"/>
        <c:minorTickMark val="none"/>
        <c:tickLblPos val="nextTo"/>
        <c:crossAx val="13629439"/>
        <c:crosses val="autoZero"/>
        <c:auto val="1"/>
        <c:lblAlgn val="ctr"/>
        <c:lblOffset val="100"/>
        <c:noMultiLvlLbl val="0"/>
      </c:catAx>
      <c:valAx>
        <c:axId val="13629439"/>
        <c:scaling>
          <c:orientation val="minMax"/>
        </c:scaling>
        <c:delete val="1"/>
        <c:axPos val="b"/>
        <c:numFmt formatCode="0" sourceLinked="1"/>
        <c:majorTickMark val="none"/>
        <c:minorTickMark val="none"/>
        <c:tickLblPos val="nextTo"/>
        <c:crossAx val="1362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08677507265612E-3"/>
          <c:y val="0.18295664430835035"/>
          <c:w val="0.87043580683156652"/>
          <c:h val="0.72116603295310522"/>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Report'!$K$6:$K$36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46B0-47B6-BEB1-302B0639DA54}"/>
            </c:ext>
          </c:extLst>
        </c:ser>
        <c:dLbls>
          <c:showLegendKey val="0"/>
          <c:showVal val="0"/>
          <c:showCatName val="0"/>
          <c:showSerName val="0"/>
          <c:showPercent val="0"/>
          <c:showBubbleSize val="0"/>
        </c:dLbls>
        <c:axId val="524533999"/>
        <c:axId val="524531599"/>
      </c:areaChart>
      <c:catAx>
        <c:axId val="524533999"/>
        <c:scaling>
          <c:orientation val="minMax"/>
        </c:scaling>
        <c:delete val="1"/>
        <c:axPos val="b"/>
        <c:numFmt formatCode="General" sourceLinked="1"/>
        <c:majorTickMark val="out"/>
        <c:minorTickMark val="none"/>
        <c:tickLblPos val="nextTo"/>
        <c:crossAx val="524531599"/>
        <c:crosses val="autoZero"/>
        <c:auto val="1"/>
        <c:lblAlgn val="ctr"/>
        <c:lblOffset val="100"/>
        <c:noMultiLvlLbl val="0"/>
      </c:catAx>
      <c:valAx>
        <c:axId val="524531599"/>
        <c:scaling>
          <c:orientation val="minMax"/>
        </c:scaling>
        <c:delete val="1"/>
        <c:axPos val="l"/>
        <c:numFmt formatCode="General" sourceLinked="1"/>
        <c:majorTickMark val="none"/>
        <c:minorTickMark val="none"/>
        <c:tickLblPos val="nextTo"/>
        <c:crossAx val="524533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60085967514921E-3"/>
          <c:y val="0.2803250555219059"/>
          <c:w val="0.99763399140324849"/>
          <c:h val="0.71008277811427423"/>
        </c:manualLayout>
      </c:layout>
      <c:areaChart>
        <c:grouping val="standard"/>
        <c:varyColors val="0"/>
        <c:ser>
          <c:idx val="0"/>
          <c:order val="0"/>
          <c:tx>
            <c:strRef>
              <c:f>'Pivot Report'!$O$6</c:f>
              <c:strCache>
                <c:ptCount val="1"/>
                <c:pt idx="0">
                  <c:v>Total</c:v>
                </c:pt>
              </c:strCache>
            </c:strRef>
          </c:tx>
          <c:spPr>
            <a:solidFill>
              <a:schemeClr val="accent1"/>
            </a:solidFill>
            <a:ln w="25400">
              <a:noFill/>
            </a:ln>
            <a:effectLst/>
          </c:spPr>
          <c:cat>
            <c:strRef>
              <c:f>'Pivot Report'!$N$7:$N$37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Report'!$O$7:$O$37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F6BC-4926-A6B6-BF24695DED54}"/>
            </c:ext>
          </c:extLst>
        </c:ser>
        <c:dLbls>
          <c:showLegendKey val="0"/>
          <c:showVal val="0"/>
          <c:showCatName val="0"/>
          <c:showSerName val="0"/>
          <c:showPercent val="0"/>
          <c:showBubbleSize val="0"/>
        </c:dLbls>
        <c:axId val="1941926751"/>
        <c:axId val="1941935391"/>
      </c:areaChart>
      <c:catAx>
        <c:axId val="1941926751"/>
        <c:scaling>
          <c:orientation val="minMax"/>
        </c:scaling>
        <c:delete val="1"/>
        <c:axPos val="b"/>
        <c:numFmt formatCode="General" sourceLinked="1"/>
        <c:majorTickMark val="out"/>
        <c:minorTickMark val="none"/>
        <c:tickLblPos val="nextTo"/>
        <c:crossAx val="1941935391"/>
        <c:crosses val="autoZero"/>
        <c:auto val="1"/>
        <c:lblAlgn val="ctr"/>
        <c:lblOffset val="100"/>
        <c:noMultiLvlLbl val="0"/>
      </c:catAx>
      <c:valAx>
        <c:axId val="1941935391"/>
        <c:scaling>
          <c:orientation val="minMax"/>
        </c:scaling>
        <c:delete val="1"/>
        <c:axPos val="l"/>
        <c:numFmt formatCode="0.00" sourceLinked="1"/>
        <c:majorTickMark val="none"/>
        <c:minorTickMark val="none"/>
        <c:tickLblPos val="nextTo"/>
        <c:crossAx val="1941926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46312684365781E-3"/>
          <c:y val="9.1836551253011184E-2"/>
          <c:w val="0.99262536873156337"/>
          <c:h val="0.8707097400496171"/>
        </c:manualLayout>
      </c:layout>
      <c:areaChart>
        <c:grouping val="standard"/>
        <c:varyColors val="0"/>
        <c:ser>
          <c:idx val="0"/>
          <c:order val="0"/>
          <c:tx>
            <c:strRef>
              <c:f>'Pivot Report'!$U$6</c:f>
              <c:strCache>
                <c:ptCount val="1"/>
                <c:pt idx="0">
                  <c:v>Total</c:v>
                </c:pt>
              </c:strCache>
            </c:strRef>
          </c:tx>
          <c:spPr>
            <a:solidFill>
              <a:schemeClr val="accent1"/>
            </a:solidFill>
            <a:ln w="25400">
              <a:noFill/>
            </a:ln>
            <a:effectLst/>
          </c:spPr>
          <c:cat>
            <c:strRef>
              <c:f>'Pivot Report'!$T$7:$T$34</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Report'!$U$7:$U$34</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4578-4147-910D-9396DDB37FCC}"/>
            </c:ext>
          </c:extLst>
        </c:ser>
        <c:dLbls>
          <c:showLegendKey val="0"/>
          <c:showVal val="0"/>
          <c:showCatName val="0"/>
          <c:showSerName val="0"/>
          <c:showPercent val="0"/>
          <c:showBubbleSize val="0"/>
        </c:dLbls>
        <c:axId val="1940305935"/>
        <c:axId val="1940306895"/>
      </c:areaChart>
      <c:catAx>
        <c:axId val="1940305935"/>
        <c:scaling>
          <c:orientation val="minMax"/>
        </c:scaling>
        <c:delete val="1"/>
        <c:axPos val="b"/>
        <c:numFmt formatCode="General" sourceLinked="1"/>
        <c:majorTickMark val="out"/>
        <c:minorTickMark val="none"/>
        <c:tickLblPos val="nextTo"/>
        <c:crossAx val="1940306895"/>
        <c:crosses val="autoZero"/>
        <c:auto val="1"/>
        <c:lblAlgn val="ctr"/>
        <c:lblOffset val="100"/>
        <c:noMultiLvlLbl val="0"/>
      </c:catAx>
      <c:valAx>
        <c:axId val="1940306895"/>
        <c:scaling>
          <c:orientation val="minMax"/>
        </c:scaling>
        <c:delete val="1"/>
        <c:axPos val="l"/>
        <c:numFmt formatCode="0.00" sourceLinked="1"/>
        <c:majorTickMark val="none"/>
        <c:minorTickMark val="none"/>
        <c:tickLblPos val="nextTo"/>
        <c:crossAx val="1940305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Report'!$A$43:$A$51</c:f>
              <c:strCache>
                <c:ptCount val="8"/>
                <c:pt idx="0">
                  <c:v>0-09</c:v>
                </c:pt>
                <c:pt idx="1">
                  <c:v>10-19</c:v>
                </c:pt>
                <c:pt idx="2">
                  <c:v>20-29</c:v>
                </c:pt>
                <c:pt idx="3">
                  <c:v>30-39</c:v>
                </c:pt>
                <c:pt idx="4">
                  <c:v>40-49</c:v>
                </c:pt>
                <c:pt idx="5">
                  <c:v>50-59</c:v>
                </c:pt>
                <c:pt idx="6">
                  <c:v>60-69</c:v>
                </c:pt>
                <c:pt idx="7">
                  <c:v>70-79</c:v>
                </c:pt>
              </c:strCache>
            </c:strRef>
          </c:cat>
          <c:val>
            <c:numRef>
              <c:f>'Pivot Report'!$B$43:$B$51</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F9B8-4932-BD2E-9CD528BD559E}"/>
            </c:ext>
          </c:extLst>
        </c:ser>
        <c:dLbls>
          <c:showLegendKey val="0"/>
          <c:showVal val="0"/>
          <c:showCatName val="0"/>
          <c:showSerName val="0"/>
          <c:showPercent val="0"/>
          <c:showBubbleSize val="0"/>
        </c:dLbls>
        <c:gapWidth val="219"/>
        <c:overlap val="-27"/>
        <c:axId val="307018255"/>
        <c:axId val="307001935"/>
      </c:barChart>
      <c:catAx>
        <c:axId val="3070182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01935"/>
        <c:crosses val="autoZero"/>
        <c:auto val="1"/>
        <c:lblAlgn val="ctr"/>
        <c:lblOffset val="100"/>
        <c:noMultiLvlLbl val="0"/>
      </c:catAx>
      <c:valAx>
        <c:axId val="307001935"/>
        <c:scaling>
          <c:orientation val="minMax"/>
        </c:scaling>
        <c:delete val="1"/>
        <c:axPos val="l"/>
        <c:numFmt formatCode="0" sourceLinked="1"/>
        <c:majorTickMark val="none"/>
        <c:minorTickMark val="none"/>
        <c:tickLblPos val="nextTo"/>
        <c:crossAx val="30701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3810699434542182"/>
          <c:y val="0.21564708257621643"/>
          <c:w val="0.45689927120155116"/>
          <c:h val="0.73982535836866559"/>
        </c:manualLayout>
      </c:layout>
      <c:pieChart>
        <c:varyColors val="1"/>
        <c:ser>
          <c:idx val="0"/>
          <c:order val="0"/>
          <c:tx>
            <c:strRef>
              <c:f>'Pivot Report'!$E$42</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7592-4403-B4D0-46D0C1F2DE56}"/>
              </c:ext>
            </c:extLst>
          </c:dPt>
          <c:dPt>
            <c:idx val="1"/>
            <c:bubble3D val="0"/>
            <c:spPr>
              <a:solidFill>
                <a:schemeClr val="accent2"/>
              </a:solidFill>
              <a:ln>
                <a:noFill/>
              </a:ln>
              <a:effectLst/>
            </c:spPr>
            <c:extLst>
              <c:ext xmlns:c16="http://schemas.microsoft.com/office/drawing/2014/chart" uri="{C3380CC4-5D6E-409C-BE32-E72D297353CC}">
                <c16:uniqueId val="{00000003-7592-4403-B4D0-46D0C1F2DE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Report'!$D$43:$D$45</c:f>
              <c:strCache>
                <c:ptCount val="2"/>
                <c:pt idx="0">
                  <c:v>Deley</c:v>
                </c:pt>
                <c:pt idx="1">
                  <c:v>On Time</c:v>
                </c:pt>
              </c:strCache>
            </c:strRef>
          </c:cat>
          <c:val>
            <c:numRef>
              <c:f>'Pivot Report'!$E$43:$E$45</c:f>
              <c:numCache>
                <c:formatCode>0.00</c:formatCode>
                <c:ptCount val="2"/>
                <c:pt idx="0">
                  <c:v>268</c:v>
                </c:pt>
                <c:pt idx="1">
                  <c:v>201</c:v>
                </c:pt>
              </c:numCache>
            </c:numRef>
          </c:val>
          <c:extLst>
            <c:ext xmlns:c16="http://schemas.microsoft.com/office/drawing/2014/chart" uri="{C3380CC4-5D6E-409C-BE32-E72D297353CC}">
              <c16:uniqueId val="{00000004-F685-4800-A623-F1CE07A4CA9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347480002499688"/>
          <c:y val="3.8573449803149619E-2"/>
          <c:w val="0.19901837270341208"/>
          <c:h val="0.2690909730033745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Report!PivotTable10</c:name>
    <c:fmtId val="15"/>
  </c:pivotSource>
  <c:chart>
    <c:title>
      <c:tx>
        <c:rich>
          <a:bodyPr rot="0" spcFirstLastPara="1" vertOverflow="ellipsis" vert="horz" wrap="square" anchor="ctr" anchorCtr="1"/>
          <a:lstStyle/>
          <a:p>
            <a:pPr algn="ctr">
              <a:defRPr sz="1200" b="1" i="0" u="none" strike="noStrike" kern="1200" baseline="0">
                <a:solidFill>
                  <a:schemeClr val="dk1">
                    <a:lumMod val="65000"/>
                    <a:lumOff val="35000"/>
                  </a:schemeClr>
                </a:solidFill>
                <a:latin typeface="+mn-lt"/>
                <a:ea typeface="+mn-ea"/>
                <a:cs typeface="+mn-cs"/>
              </a:defRPr>
            </a:pPr>
            <a:r>
              <a:rPr lang="en-US" sz="1200" b="1"/>
              <a:t>Gender</a:t>
            </a:r>
            <a:r>
              <a:rPr lang="en-US" sz="1200" b="1" baseline="0"/>
              <a:t> wise Analysis</a:t>
            </a:r>
            <a:endParaRPr lang="en-US" sz="1200" b="1"/>
          </a:p>
        </c:rich>
      </c:tx>
      <c:layout>
        <c:manualLayout>
          <c:xMode val="edge"/>
          <c:yMode val="edge"/>
          <c:x val="0.20887009563718698"/>
          <c:y val="0.83542458808618514"/>
        </c:manualLayout>
      </c:layout>
      <c:overlay val="0"/>
      <c:spPr>
        <a:noFill/>
        <a:ln>
          <a:noFill/>
        </a:ln>
        <a:effectLst/>
      </c:spPr>
      <c:txPr>
        <a:bodyPr rot="0" spcFirstLastPara="1" vertOverflow="ellipsis" vert="horz" wrap="square" anchor="ctr" anchorCtr="1"/>
        <a:lstStyle/>
        <a:p>
          <a:pPr algn="ctr">
            <a:defRPr sz="12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006558756992792"/>
          <c:y val="0.17365697633803379"/>
          <c:w val="0.36847943631509583"/>
          <c:h val="0.65289512290051199"/>
        </c:manualLayout>
      </c:layout>
      <c:pieChart>
        <c:varyColors val="1"/>
        <c:ser>
          <c:idx val="0"/>
          <c:order val="0"/>
          <c:tx>
            <c:strRef>
              <c:f>'Pivot Report'!$B$54</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AD2-442C-B630-ED5436D5F11B}"/>
              </c:ext>
            </c:extLst>
          </c:dPt>
          <c:dPt>
            <c:idx val="1"/>
            <c:bubble3D val="0"/>
            <c:spPr>
              <a:solidFill>
                <a:schemeClr val="accent2"/>
              </a:solidFill>
              <a:ln>
                <a:noFill/>
              </a:ln>
              <a:effectLst/>
            </c:spPr>
            <c:extLst>
              <c:ext xmlns:c16="http://schemas.microsoft.com/office/drawing/2014/chart" uri="{C3380CC4-5D6E-409C-BE32-E72D297353CC}">
                <c16:uniqueId val="{00000003-DAD2-442C-B630-ED5436D5F1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Report'!$A$55:$A$57</c:f>
              <c:strCache>
                <c:ptCount val="2"/>
                <c:pt idx="0">
                  <c:v>Female</c:v>
                </c:pt>
                <c:pt idx="1">
                  <c:v>Male</c:v>
                </c:pt>
              </c:strCache>
            </c:strRef>
          </c:cat>
          <c:val>
            <c:numRef>
              <c:f>'Pivot Report'!$B$55:$B$57</c:f>
              <c:numCache>
                <c:formatCode>0.00</c:formatCode>
                <c:ptCount val="2"/>
                <c:pt idx="0">
                  <c:v>241</c:v>
                </c:pt>
                <c:pt idx="1">
                  <c:v>228</c:v>
                </c:pt>
              </c:numCache>
            </c:numRef>
          </c:val>
          <c:extLst>
            <c:ext xmlns:c16="http://schemas.microsoft.com/office/drawing/2014/chart" uri="{C3380CC4-5D6E-409C-BE32-E72D297353CC}">
              <c16:uniqueId val="{00000004-180F-4A95-B7AE-F86A0A67055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6267032600880346"/>
          <c:y val="3.6811532279395309E-3"/>
          <c:w val="0.17976835191981091"/>
          <c:h val="0.2373085746171492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Report!PivotTable11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No. of Patient</a:t>
            </a:r>
            <a:r>
              <a:rPr lang="en-US" sz="1400" b="1" baseline="0"/>
              <a:t> by Department Referal</a:t>
            </a:r>
            <a:endParaRPr lang="en-US" sz="1400" b="1"/>
          </a:p>
        </c:rich>
      </c:tx>
      <c:layout>
        <c:manualLayout>
          <c:xMode val="edge"/>
          <c:yMode val="edge"/>
          <c:x val="0.23546344628269783"/>
          <c:y val="0.9078590785907859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3649776828743"/>
          <c:y val="0.10353683529284867"/>
          <c:w val="0.76919688005101061"/>
          <c:h val="0.69023514184014656"/>
        </c:manualLayout>
      </c:layout>
      <c:barChart>
        <c:barDir val="bar"/>
        <c:grouping val="clustered"/>
        <c:varyColors val="0"/>
        <c:ser>
          <c:idx val="0"/>
          <c:order val="0"/>
          <c:tx>
            <c:strRef>
              <c:f>'Pivot Report'!$B$60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Report'!$A$61:$A$69</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Report'!$B$61:$B$69</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D047-4002-BC8D-D6AABFD96CAB}"/>
            </c:ext>
          </c:extLst>
        </c:ser>
        <c:dLbls>
          <c:showLegendKey val="0"/>
          <c:showVal val="0"/>
          <c:showCatName val="0"/>
          <c:showSerName val="0"/>
          <c:showPercent val="0"/>
          <c:showBubbleSize val="0"/>
        </c:dLbls>
        <c:gapWidth val="182"/>
        <c:axId val="712493775"/>
        <c:axId val="712494735"/>
      </c:barChart>
      <c:catAx>
        <c:axId val="71249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494735"/>
        <c:crosses val="autoZero"/>
        <c:auto val="1"/>
        <c:lblAlgn val="ctr"/>
        <c:lblOffset val="100"/>
        <c:noMultiLvlLbl val="0"/>
      </c:catAx>
      <c:valAx>
        <c:axId val="712494735"/>
        <c:scaling>
          <c:orientation val="minMax"/>
        </c:scaling>
        <c:delete val="1"/>
        <c:axPos val="b"/>
        <c:numFmt formatCode="0" sourceLinked="1"/>
        <c:majorTickMark val="none"/>
        <c:minorTickMark val="none"/>
        <c:tickLblPos val="nextTo"/>
        <c:crossAx val="71249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73010518464522E-2"/>
          <c:y val="0.27839562201698853"/>
          <c:w val="0.91349290434497621"/>
          <c:h val="0.72116603295310522"/>
        </c:manualLayout>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Report'!$K$6:$K$36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2369-4BCB-BB99-F79550F8418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4533999"/>
        <c:axId val="524531599"/>
      </c:areaChart>
      <c:catAx>
        <c:axId val="5245339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4531599"/>
        <c:crosses val="autoZero"/>
        <c:auto val="1"/>
        <c:lblAlgn val="ctr"/>
        <c:lblOffset val="100"/>
        <c:noMultiLvlLbl val="0"/>
      </c:catAx>
      <c:valAx>
        <c:axId val="524531599"/>
        <c:scaling>
          <c:orientation val="minMax"/>
        </c:scaling>
        <c:delete val="1"/>
        <c:axPos val="l"/>
        <c:numFmt formatCode="General" sourceLinked="1"/>
        <c:majorTickMark val="out"/>
        <c:minorTickMark val="none"/>
        <c:tickLblPos val="nextTo"/>
        <c:crossAx val="524533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Report!PivotTable2</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20373983360667E-2"/>
          <c:y val="0.2803250555219059"/>
          <c:w val="0.94512816327376648"/>
          <c:h val="0.71008277811427423"/>
        </c:manualLayout>
      </c:layout>
      <c:areaChart>
        <c:grouping val="standard"/>
        <c:varyColors val="0"/>
        <c:ser>
          <c:idx val="0"/>
          <c:order val="0"/>
          <c:tx>
            <c:strRef>
              <c:f>'Pivot Report'!$O$6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Report'!$N$7:$N$37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Report'!$O$7:$O$37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CE68-423D-94ED-BC343A56B6A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41926751"/>
        <c:axId val="1941935391"/>
      </c:areaChart>
      <c:catAx>
        <c:axId val="19419267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941935391"/>
        <c:crosses val="autoZero"/>
        <c:auto val="1"/>
        <c:lblAlgn val="ctr"/>
        <c:lblOffset val="100"/>
        <c:noMultiLvlLbl val="0"/>
      </c:catAx>
      <c:valAx>
        <c:axId val="1941935391"/>
        <c:scaling>
          <c:orientation val="minMax"/>
        </c:scaling>
        <c:delete val="1"/>
        <c:axPos val="l"/>
        <c:numFmt formatCode="0.00" sourceLinked="1"/>
        <c:majorTickMark val="out"/>
        <c:minorTickMark val="none"/>
        <c:tickLblPos val="nextTo"/>
        <c:crossAx val="1941926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ER Analyze.xlsx]Pivot Report!PivotTable6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Report'!$U$6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Report'!$T$7:$T$34</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Report'!$U$7:$U$34</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1129-48CA-9B78-6AA7265D760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40305935"/>
        <c:axId val="1940306895"/>
      </c:areaChart>
      <c:catAx>
        <c:axId val="19403059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0306895"/>
        <c:crosses val="autoZero"/>
        <c:auto val="1"/>
        <c:lblAlgn val="ctr"/>
        <c:lblOffset val="100"/>
        <c:noMultiLvlLbl val="0"/>
      </c:catAx>
      <c:valAx>
        <c:axId val="1940306895"/>
        <c:scaling>
          <c:orientation val="minMax"/>
        </c:scaling>
        <c:delete val="1"/>
        <c:axPos val="l"/>
        <c:numFmt formatCode="0.00" sourceLinked="1"/>
        <c:majorTickMark val="out"/>
        <c:minorTickMark val="none"/>
        <c:tickLblPos val="nextTo"/>
        <c:crossAx val="1940305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grage wait time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45720</xdr:colOff>
      <xdr:row>35</xdr:row>
      <xdr:rowOff>297181</xdr:rowOff>
    </xdr:from>
    <xdr:to>
      <xdr:col>5</xdr:col>
      <xdr:colOff>0</xdr:colOff>
      <xdr:row>38</xdr:row>
      <xdr:rowOff>15240</xdr:rowOff>
    </xdr:to>
    <xdr:graphicFrame macro="">
      <xdr:nvGraphicFramePr>
        <xdr:cNvPr id="5" name="Chart 4">
          <a:extLst>
            <a:ext uri="{FF2B5EF4-FFF2-40B4-BE49-F238E27FC236}">
              <a16:creationId xmlns:a16="http://schemas.microsoft.com/office/drawing/2014/main" id="{84A61265-A660-675D-5571-5A0712919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76200</xdr:rowOff>
    </xdr:from>
    <xdr:to>
      <xdr:col>7</xdr:col>
      <xdr:colOff>259080</xdr:colOff>
      <xdr:row>4</xdr:row>
      <xdr:rowOff>68580</xdr:rowOff>
    </xdr:to>
    <xdr:sp macro="" textlink="">
      <xdr:nvSpPr>
        <xdr:cNvPr id="4" name="Rectangle: Rounded Corners 3">
          <a:extLst>
            <a:ext uri="{FF2B5EF4-FFF2-40B4-BE49-F238E27FC236}">
              <a16:creationId xmlns:a16="http://schemas.microsoft.com/office/drawing/2014/main" id="{20C3EA17-4500-C423-6E5C-793A34FDF80B}"/>
            </a:ext>
          </a:extLst>
        </xdr:cNvPr>
        <xdr:cNvSpPr/>
      </xdr:nvSpPr>
      <xdr:spPr>
        <a:xfrm>
          <a:off x="0" y="76200"/>
          <a:ext cx="4526280" cy="723900"/>
        </a:xfrm>
        <a:prstGeom prst="roundRect">
          <a:avLst>
            <a:gd name="adj" fmla="val 5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342900</xdr:colOff>
      <xdr:row>0</xdr:row>
      <xdr:rowOff>68580</xdr:rowOff>
    </xdr:from>
    <xdr:to>
      <xdr:col>10</xdr:col>
      <xdr:colOff>289560</xdr:colOff>
      <xdr:row>4</xdr:row>
      <xdr:rowOff>76200</xdr:rowOff>
    </xdr:to>
    <xdr:sp macro="" textlink="">
      <xdr:nvSpPr>
        <xdr:cNvPr id="5" name="Rectangle: Rounded Corners 4">
          <a:extLst>
            <a:ext uri="{FF2B5EF4-FFF2-40B4-BE49-F238E27FC236}">
              <a16:creationId xmlns:a16="http://schemas.microsoft.com/office/drawing/2014/main" id="{D3A36DD5-C142-36FD-DE9B-006927093A85}"/>
            </a:ext>
          </a:extLst>
        </xdr:cNvPr>
        <xdr:cNvSpPr/>
      </xdr:nvSpPr>
      <xdr:spPr>
        <a:xfrm>
          <a:off x="4610100" y="68580"/>
          <a:ext cx="1775460" cy="73914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30480</xdr:colOff>
      <xdr:row>0</xdr:row>
      <xdr:rowOff>38100</xdr:rowOff>
    </xdr:from>
    <xdr:to>
      <xdr:col>21</xdr:col>
      <xdr:colOff>472440</xdr:colOff>
      <xdr:row>11</xdr:row>
      <xdr:rowOff>53340</xdr:rowOff>
    </xdr:to>
    <xdr:sp macro="" textlink="">
      <xdr:nvSpPr>
        <xdr:cNvPr id="6" name="Rectangle: Rounded Corners 5">
          <a:extLst>
            <a:ext uri="{FF2B5EF4-FFF2-40B4-BE49-F238E27FC236}">
              <a16:creationId xmlns:a16="http://schemas.microsoft.com/office/drawing/2014/main" id="{E213CAC6-0BD6-E12A-C573-8CC34DF00BFB}"/>
            </a:ext>
          </a:extLst>
        </xdr:cNvPr>
        <xdr:cNvSpPr/>
      </xdr:nvSpPr>
      <xdr:spPr>
        <a:xfrm>
          <a:off x="9784080" y="38100"/>
          <a:ext cx="3489960" cy="202692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335280</xdr:colOff>
      <xdr:row>0</xdr:row>
      <xdr:rowOff>53340</xdr:rowOff>
    </xdr:from>
    <xdr:to>
      <xdr:col>15</xdr:col>
      <xdr:colOff>586740</xdr:colOff>
      <xdr:row>11</xdr:row>
      <xdr:rowOff>60960</xdr:rowOff>
    </xdr:to>
    <xdr:sp macro="" textlink="">
      <xdr:nvSpPr>
        <xdr:cNvPr id="7" name="Rectangle: Rounded Corners 6">
          <a:extLst>
            <a:ext uri="{FF2B5EF4-FFF2-40B4-BE49-F238E27FC236}">
              <a16:creationId xmlns:a16="http://schemas.microsoft.com/office/drawing/2014/main" id="{AA87547E-C493-3130-4D65-D6C7D4BD3752}"/>
            </a:ext>
          </a:extLst>
        </xdr:cNvPr>
        <xdr:cNvSpPr/>
      </xdr:nvSpPr>
      <xdr:spPr>
        <a:xfrm>
          <a:off x="6431280" y="53340"/>
          <a:ext cx="3299460" cy="201930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30480</xdr:colOff>
      <xdr:row>4</xdr:row>
      <xdr:rowOff>114300</xdr:rowOff>
    </xdr:from>
    <xdr:to>
      <xdr:col>1</xdr:col>
      <xdr:colOff>365760</xdr:colOff>
      <xdr:row>27</xdr:row>
      <xdr:rowOff>45720</xdr:rowOff>
    </xdr:to>
    <xdr:sp macro="" textlink="">
      <xdr:nvSpPr>
        <xdr:cNvPr id="8" name="Rectangle: Rounded Corners 7">
          <a:extLst>
            <a:ext uri="{FF2B5EF4-FFF2-40B4-BE49-F238E27FC236}">
              <a16:creationId xmlns:a16="http://schemas.microsoft.com/office/drawing/2014/main" id="{A437E63B-3FC1-5F4A-6BED-240186E78960}"/>
            </a:ext>
          </a:extLst>
        </xdr:cNvPr>
        <xdr:cNvSpPr/>
      </xdr:nvSpPr>
      <xdr:spPr>
        <a:xfrm>
          <a:off x="30480" y="845820"/>
          <a:ext cx="944880" cy="4137660"/>
        </a:xfrm>
        <a:prstGeom prst="roundRect">
          <a:avLst>
            <a:gd name="adj" fmla="val 500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419100</xdr:colOff>
      <xdr:row>4</xdr:row>
      <xdr:rowOff>106680</xdr:rowOff>
    </xdr:from>
    <xdr:to>
      <xdr:col>4</xdr:col>
      <xdr:colOff>365760</xdr:colOff>
      <xdr:row>11</xdr:row>
      <xdr:rowOff>60960</xdr:rowOff>
    </xdr:to>
    <xdr:sp macro="" textlink="">
      <xdr:nvSpPr>
        <xdr:cNvPr id="9" name="Rectangle: Rounded Corners 8">
          <a:extLst>
            <a:ext uri="{FF2B5EF4-FFF2-40B4-BE49-F238E27FC236}">
              <a16:creationId xmlns:a16="http://schemas.microsoft.com/office/drawing/2014/main" id="{105D4DB6-66EE-4B61-C05A-417FDDF57CF6}"/>
            </a:ext>
          </a:extLst>
        </xdr:cNvPr>
        <xdr:cNvSpPr/>
      </xdr:nvSpPr>
      <xdr:spPr>
        <a:xfrm>
          <a:off x="1028700" y="838200"/>
          <a:ext cx="1775460" cy="123444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426720</xdr:colOff>
      <xdr:row>4</xdr:row>
      <xdr:rowOff>114300</xdr:rowOff>
    </xdr:from>
    <xdr:to>
      <xdr:col>7</xdr:col>
      <xdr:colOff>320040</xdr:colOff>
      <xdr:row>11</xdr:row>
      <xdr:rowOff>53340</xdr:rowOff>
    </xdr:to>
    <xdr:sp macro="" textlink="">
      <xdr:nvSpPr>
        <xdr:cNvPr id="10" name="Rectangle: Rounded Corners 9">
          <a:extLst>
            <a:ext uri="{FF2B5EF4-FFF2-40B4-BE49-F238E27FC236}">
              <a16:creationId xmlns:a16="http://schemas.microsoft.com/office/drawing/2014/main" id="{C88C454A-63BB-23FC-D3BF-22E403C9AD6B}"/>
            </a:ext>
          </a:extLst>
        </xdr:cNvPr>
        <xdr:cNvSpPr/>
      </xdr:nvSpPr>
      <xdr:spPr>
        <a:xfrm>
          <a:off x="2865120" y="845820"/>
          <a:ext cx="1722120" cy="121920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373380</xdr:colOff>
      <xdr:row>4</xdr:row>
      <xdr:rowOff>106680</xdr:rowOff>
    </xdr:from>
    <xdr:to>
      <xdr:col>10</xdr:col>
      <xdr:colOff>281940</xdr:colOff>
      <xdr:row>11</xdr:row>
      <xdr:rowOff>60960</xdr:rowOff>
    </xdr:to>
    <xdr:sp macro="" textlink="">
      <xdr:nvSpPr>
        <xdr:cNvPr id="11" name="Rectangle: Rounded Corners 10">
          <a:extLst>
            <a:ext uri="{FF2B5EF4-FFF2-40B4-BE49-F238E27FC236}">
              <a16:creationId xmlns:a16="http://schemas.microsoft.com/office/drawing/2014/main" id="{E1E43FB5-DD7A-5AAA-9268-8B8AAB140519}"/>
            </a:ext>
          </a:extLst>
        </xdr:cNvPr>
        <xdr:cNvSpPr/>
      </xdr:nvSpPr>
      <xdr:spPr>
        <a:xfrm>
          <a:off x="4640580" y="838200"/>
          <a:ext cx="1737360" cy="123444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419100</xdr:colOff>
      <xdr:row>11</xdr:row>
      <xdr:rowOff>137160</xdr:rowOff>
    </xdr:from>
    <xdr:to>
      <xdr:col>10</xdr:col>
      <xdr:colOff>266700</xdr:colOff>
      <xdr:row>15</xdr:row>
      <xdr:rowOff>83820</xdr:rowOff>
    </xdr:to>
    <xdr:sp macro="" textlink="">
      <xdr:nvSpPr>
        <xdr:cNvPr id="12" name="Rectangle: Rounded Corners 11">
          <a:extLst>
            <a:ext uri="{FF2B5EF4-FFF2-40B4-BE49-F238E27FC236}">
              <a16:creationId xmlns:a16="http://schemas.microsoft.com/office/drawing/2014/main" id="{DC1090BE-0AC7-CCA5-C098-3A58C2D0ECDF}"/>
            </a:ext>
          </a:extLst>
        </xdr:cNvPr>
        <xdr:cNvSpPr/>
      </xdr:nvSpPr>
      <xdr:spPr>
        <a:xfrm>
          <a:off x="1028700" y="2148840"/>
          <a:ext cx="5334000" cy="67818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441960</xdr:colOff>
      <xdr:row>15</xdr:row>
      <xdr:rowOff>175260</xdr:rowOff>
    </xdr:from>
    <xdr:to>
      <xdr:col>10</xdr:col>
      <xdr:colOff>312420</xdr:colOff>
      <xdr:row>27</xdr:row>
      <xdr:rowOff>45720</xdr:rowOff>
    </xdr:to>
    <xdr:sp macro="" textlink="">
      <xdr:nvSpPr>
        <xdr:cNvPr id="13" name="Rectangle: Rounded Corners 12">
          <a:extLst>
            <a:ext uri="{FF2B5EF4-FFF2-40B4-BE49-F238E27FC236}">
              <a16:creationId xmlns:a16="http://schemas.microsoft.com/office/drawing/2014/main" id="{F95FE368-F4EC-89F4-A9F7-9ED9AC6E442B}"/>
            </a:ext>
          </a:extLst>
        </xdr:cNvPr>
        <xdr:cNvSpPr/>
      </xdr:nvSpPr>
      <xdr:spPr>
        <a:xfrm>
          <a:off x="1051560" y="2918460"/>
          <a:ext cx="5356860" cy="206502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350520</xdr:colOff>
      <xdr:row>11</xdr:row>
      <xdr:rowOff>121920</xdr:rowOff>
    </xdr:from>
    <xdr:to>
      <xdr:col>21</xdr:col>
      <xdr:colOff>457200</xdr:colOff>
      <xdr:row>27</xdr:row>
      <xdr:rowOff>60960</xdr:rowOff>
    </xdr:to>
    <xdr:sp macro="" textlink="">
      <xdr:nvSpPr>
        <xdr:cNvPr id="14" name="Rectangle: Rounded Corners 13">
          <a:extLst>
            <a:ext uri="{FF2B5EF4-FFF2-40B4-BE49-F238E27FC236}">
              <a16:creationId xmlns:a16="http://schemas.microsoft.com/office/drawing/2014/main" id="{B08F42FD-8EE5-A89B-F774-20FC7DB006B9}"/>
            </a:ext>
          </a:extLst>
        </xdr:cNvPr>
        <xdr:cNvSpPr/>
      </xdr:nvSpPr>
      <xdr:spPr>
        <a:xfrm>
          <a:off x="6446520" y="2133600"/>
          <a:ext cx="6812280" cy="2865120"/>
        </a:xfrm>
        <a:prstGeom prst="roundRect">
          <a:avLst>
            <a:gd name="adj" fmla="val 5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243840</xdr:colOff>
      <xdr:row>0</xdr:row>
      <xdr:rowOff>53340</xdr:rowOff>
    </xdr:from>
    <xdr:to>
      <xdr:col>7</xdr:col>
      <xdr:colOff>144780</xdr:colOff>
      <xdr:row>2</xdr:row>
      <xdr:rowOff>76200</xdr:rowOff>
    </xdr:to>
    <xdr:sp macro="" textlink="">
      <xdr:nvSpPr>
        <xdr:cNvPr id="15" name="TextBox 14">
          <a:extLst>
            <a:ext uri="{FF2B5EF4-FFF2-40B4-BE49-F238E27FC236}">
              <a16:creationId xmlns:a16="http://schemas.microsoft.com/office/drawing/2014/main" id="{7C71CDD0-3080-E3BA-F270-D6FF9FBD121A}"/>
            </a:ext>
          </a:extLst>
        </xdr:cNvPr>
        <xdr:cNvSpPr txBox="1"/>
      </xdr:nvSpPr>
      <xdr:spPr>
        <a:xfrm>
          <a:off x="853440" y="53340"/>
          <a:ext cx="35585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Hospital Emergency Room  Dashboard</a:t>
          </a:r>
        </a:p>
      </xdr:txBody>
    </xdr:sp>
    <xdr:clientData/>
  </xdr:twoCellAnchor>
  <xdr:twoCellAnchor editAs="oneCell">
    <xdr:from>
      <xdr:col>0</xdr:col>
      <xdr:colOff>0</xdr:colOff>
      <xdr:row>0</xdr:row>
      <xdr:rowOff>0</xdr:rowOff>
    </xdr:from>
    <xdr:to>
      <xdr:col>1</xdr:col>
      <xdr:colOff>518160</xdr:colOff>
      <xdr:row>4</xdr:row>
      <xdr:rowOff>19490</xdr:rowOff>
    </xdr:to>
    <xdr:pic>
      <xdr:nvPicPr>
        <xdr:cNvPr id="17" name="Picture 16">
          <a:extLst>
            <a:ext uri="{FF2B5EF4-FFF2-40B4-BE49-F238E27FC236}">
              <a16:creationId xmlns:a16="http://schemas.microsoft.com/office/drawing/2014/main" id="{3B51AF0A-FDE9-0443-B79B-08136F89BE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705" t="-2029" r="-7915" b="2029"/>
        <a:stretch>
          <a:fillRect/>
        </a:stretch>
      </xdr:blipFill>
      <xdr:spPr>
        <a:xfrm>
          <a:off x="0" y="0"/>
          <a:ext cx="1127760" cy="751010"/>
        </a:xfrm>
        <a:prstGeom prst="rect">
          <a:avLst/>
        </a:prstGeom>
      </xdr:spPr>
    </xdr:pic>
    <xdr:clientData/>
  </xdr:twoCellAnchor>
  <xdr:twoCellAnchor editAs="absolute">
    <xdr:from>
      <xdr:col>2</xdr:col>
      <xdr:colOff>556260</xdr:colOff>
      <xdr:row>2</xdr:row>
      <xdr:rowOff>0</xdr:rowOff>
    </xdr:from>
    <xdr:to>
      <xdr:col>5</xdr:col>
      <xdr:colOff>556260</xdr:colOff>
      <xdr:row>3</xdr:row>
      <xdr:rowOff>99060</xdr:rowOff>
    </xdr:to>
    <xdr:sp macro="" textlink="">
      <xdr:nvSpPr>
        <xdr:cNvPr id="18" name="TextBox 17">
          <a:extLst>
            <a:ext uri="{FF2B5EF4-FFF2-40B4-BE49-F238E27FC236}">
              <a16:creationId xmlns:a16="http://schemas.microsoft.com/office/drawing/2014/main" id="{D53F0935-D982-4DCE-6A04-3B450C91ED3F}"/>
            </a:ext>
          </a:extLst>
        </xdr:cNvPr>
        <xdr:cNvSpPr txBox="1"/>
      </xdr:nvSpPr>
      <xdr:spPr>
        <a:xfrm>
          <a:off x="1775460" y="365760"/>
          <a:ext cx="18288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Monthly Report</a:t>
          </a:r>
        </a:p>
      </xdr:txBody>
    </xdr:sp>
    <xdr:clientData/>
  </xdr:twoCellAnchor>
  <xdr:twoCellAnchor editAs="absolute">
    <xdr:from>
      <xdr:col>2</xdr:col>
      <xdr:colOff>190130</xdr:colOff>
      <xdr:row>4</xdr:row>
      <xdr:rowOff>129540</xdr:rowOff>
    </xdr:from>
    <xdr:to>
      <xdr:col>4</xdr:col>
      <xdr:colOff>91439</xdr:colOff>
      <xdr:row>6</xdr:row>
      <xdr:rowOff>99060</xdr:rowOff>
    </xdr:to>
    <xdr:sp macro="" textlink="">
      <xdr:nvSpPr>
        <xdr:cNvPr id="19" name="TextBox 18">
          <a:extLst>
            <a:ext uri="{FF2B5EF4-FFF2-40B4-BE49-F238E27FC236}">
              <a16:creationId xmlns:a16="http://schemas.microsoft.com/office/drawing/2014/main" id="{64C75CB9-D05B-8423-D958-15AB1A879398}"/>
            </a:ext>
          </a:extLst>
        </xdr:cNvPr>
        <xdr:cNvSpPr txBox="1"/>
      </xdr:nvSpPr>
      <xdr:spPr>
        <a:xfrm>
          <a:off x="1409330" y="861060"/>
          <a:ext cx="1120509"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No.</a:t>
          </a:r>
          <a:r>
            <a:rPr lang="en-IN" sz="1200" b="1" baseline="0">
              <a:solidFill>
                <a:schemeClr val="dk1"/>
              </a:solidFill>
              <a:effectLst/>
              <a:latin typeface="+mn-lt"/>
              <a:ea typeface="+mn-ea"/>
              <a:cs typeface="+mn-cs"/>
            </a:rPr>
            <a:t> of Patient</a:t>
          </a:r>
          <a:endParaRPr lang="en-IN" sz="1600">
            <a:effectLst/>
          </a:endParaRPr>
        </a:p>
        <a:p>
          <a:endParaRPr lang="en-IN" sz="1400" b="1"/>
        </a:p>
      </xdr:txBody>
    </xdr:sp>
    <xdr:clientData/>
  </xdr:twoCellAnchor>
  <xdr:twoCellAnchor editAs="absolute">
    <xdr:from>
      <xdr:col>3</xdr:col>
      <xdr:colOff>106680</xdr:colOff>
      <xdr:row>5</xdr:row>
      <xdr:rowOff>137160</xdr:rowOff>
    </xdr:from>
    <xdr:to>
      <xdr:col>4</xdr:col>
      <xdr:colOff>182880</xdr:colOff>
      <xdr:row>7</xdr:row>
      <xdr:rowOff>175260</xdr:rowOff>
    </xdr:to>
    <xdr:sp macro="" textlink="'Pivot Report'!B5">
      <xdr:nvSpPr>
        <xdr:cNvPr id="20" name="TextBox 19">
          <a:extLst>
            <a:ext uri="{FF2B5EF4-FFF2-40B4-BE49-F238E27FC236}">
              <a16:creationId xmlns:a16="http://schemas.microsoft.com/office/drawing/2014/main" id="{66676DBA-6E45-7449-3356-6F3855B18E72}"/>
            </a:ext>
          </a:extLst>
        </xdr:cNvPr>
        <xdr:cNvSpPr txBox="1"/>
      </xdr:nvSpPr>
      <xdr:spPr>
        <a:xfrm>
          <a:off x="1935480" y="1051560"/>
          <a:ext cx="6858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49A090-0D4A-4000-A8AF-94DBC1B127B6}" type="TxLink">
            <a:rPr lang="en-US" sz="2400" b="1" i="0" u="none" strike="noStrike">
              <a:solidFill>
                <a:srgbClr val="000000"/>
              </a:solidFill>
              <a:latin typeface="Aptos Narrow"/>
            </a:rPr>
            <a:pPr/>
            <a:t>469</a:t>
          </a:fld>
          <a:endParaRPr lang="en-IN" sz="3200" b="1"/>
        </a:p>
      </xdr:txBody>
    </xdr:sp>
    <xdr:clientData/>
  </xdr:twoCellAnchor>
  <xdr:twoCellAnchor editAs="absolute">
    <xdr:from>
      <xdr:col>5</xdr:col>
      <xdr:colOff>7620</xdr:colOff>
      <xdr:row>4</xdr:row>
      <xdr:rowOff>99060</xdr:rowOff>
    </xdr:from>
    <xdr:to>
      <xdr:col>7</xdr:col>
      <xdr:colOff>152400</xdr:colOff>
      <xdr:row>7</xdr:row>
      <xdr:rowOff>53339</xdr:rowOff>
    </xdr:to>
    <xdr:sp macro="" textlink="">
      <xdr:nvSpPr>
        <xdr:cNvPr id="30" name="TextBox 29">
          <a:extLst>
            <a:ext uri="{FF2B5EF4-FFF2-40B4-BE49-F238E27FC236}">
              <a16:creationId xmlns:a16="http://schemas.microsoft.com/office/drawing/2014/main" id="{0047B2C8-E697-3328-0467-84899F3561E2}"/>
            </a:ext>
          </a:extLst>
        </xdr:cNvPr>
        <xdr:cNvSpPr txBox="1"/>
      </xdr:nvSpPr>
      <xdr:spPr>
        <a:xfrm>
          <a:off x="3055620" y="830580"/>
          <a:ext cx="1363980"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Average</a:t>
          </a:r>
          <a:r>
            <a:rPr lang="en-IN" sz="1200" b="1" baseline="0">
              <a:solidFill>
                <a:schemeClr val="dk1"/>
              </a:solidFill>
              <a:effectLst/>
              <a:latin typeface="+mn-lt"/>
              <a:ea typeface="+mn-ea"/>
              <a:cs typeface="+mn-cs"/>
            </a:rPr>
            <a:t> Wait Time</a:t>
          </a:r>
          <a:endParaRPr lang="en-IN" sz="1600">
            <a:effectLst/>
          </a:endParaRPr>
        </a:p>
        <a:p>
          <a:endParaRPr lang="en-IN" sz="1400" b="1"/>
        </a:p>
      </xdr:txBody>
    </xdr:sp>
    <xdr:clientData/>
  </xdr:twoCellAnchor>
  <xdr:twoCellAnchor editAs="absolute">
    <xdr:from>
      <xdr:col>5</xdr:col>
      <xdr:colOff>480060</xdr:colOff>
      <xdr:row>5</xdr:row>
      <xdr:rowOff>114300</xdr:rowOff>
    </xdr:from>
    <xdr:to>
      <xdr:col>7</xdr:col>
      <xdr:colOff>251460</xdr:colOff>
      <xdr:row>7</xdr:row>
      <xdr:rowOff>137160</xdr:rowOff>
    </xdr:to>
    <xdr:sp macro="" textlink="'Pivot Report'!B10">
      <xdr:nvSpPr>
        <xdr:cNvPr id="31" name="TextBox 30">
          <a:extLst>
            <a:ext uri="{FF2B5EF4-FFF2-40B4-BE49-F238E27FC236}">
              <a16:creationId xmlns:a16="http://schemas.microsoft.com/office/drawing/2014/main" id="{FA63C1E8-6E83-6E12-0CD4-81138C46FA8C}"/>
            </a:ext>
          </a:extLst>
        </xdr:cNvPr>
        <xdr:cNvSpPr txBox="1"/>
      </xdr:nvSpPr>
      <xdr:spPr>
        <a:xfrm>
          <a:off x="3528060" y="1028700"/>
          <a:ext cx="9906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0DFCB1-5897-4B11-B3A7-71BB81C6A9F8}" type="TxLink">
            <a:rPr lang="en-US" sz="2400" b="1" i="0" u="none" strike="noStrike">
              <a:solidFill>
                <a:srgbClr val="000000"/>
              </a:solidFill>
              <a:latin typeface="Aptos Narrow"/>
            </a:rPr>
            <a:pPr/>
            <a:t>35.04</a:t>
          </a:fld>
          <a:endParaRPr lang="en-IN" sz="3200" b="1"/>
        </a:p>
      </xdr:txBody>
    </xdr:sp>
    <xdr:clientData/>
  </xdr:twoCellAnchor>
  <xdr:twoCellAnchor editAs="absolute">
    <xdr:from>
      <xdr:col>7</xdr:col>
      <xdr:colOff>358140</xdr:colOff>
      <xdr:row>4</xdr:row>
      <xdr:rowOff>106680</xdr:rowOff>
    </xdr:from>
    <xdr:to>
      <xdr:col>10</xdr:col>
      <xdr:colOff>274320</xdr:colOff>
      <xdr:row>8</xdr:row>
      <xdr:rowOff>30479</xdr:rowOff>
    </xdr:to>
    <xdr:sp macro="" textlink="">
      <xdr:nvSpPr>
        <xdr:cNvPr id="32" name="TextBox 31">
          <a:extLst>
            <a:ext uri="{FF2B5EF4-FFF2-40B4-BE49-F238E27FC236}">
              <a16:creationId xmlns:a16="http://schemas.microsoft.com/office/drawing/2014/main" id="{62A801F9-DB6C-D671-B457-AA4274249A16}"/>
            </a:ext>
          </a:extLst>
        </xdr:cNvPr>
        <xdr:cNvSpPr txBox="1"/>
      </xdr:nvSpPr>
      <xdr:spPr>
        <a:xfrm>
          <a:off x="4625340" y="838200"/>
          <a:ext cx="1744980" cy="655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Patient Satisfaction</a:t>
          </a:r>
          <a:r>
            <a:rPr lang="en-IN" sz="1200" b="1" baseline="0">
              <a:solidFill>
                <a:schemeClr val="dk1"/>
              </a:solidFill>
              <a:effectLst/>
              <a:latin typeface="+mn-lt"/>
              <a:ea typeface="+mn-ea"/>
              <a:cs typeface="+mn-cs"/>
            </a:rPr>
            <a:t> Score</a:t>
          </a:r>
          <a:endParaRPr lang="en-IN" sz="1600">
            <a:effectLst/>
          </a:endParaRPr>
        </a:p>
        <a:p>
          <a:endParaRPr lang="en-IN" sz="1400" b="1"/>
        </a:p>
      </xdr:txBody>
    </xdr:sp>
    <xdr:clientData/>
  </xdr:twoCellAnchor>
  <xdr:twoCellAnchor editAs="absolute">
    <xdr:from>
      <xdr:col>8</xdr:col>
      <xdr:colOff>533400</xdr:colOff>
      <xdr:row>5</xdr:row>
      <xdr:rowOff>137160</xdr:rowOff>
    </xdr:from>
    <xdr:to>
      <xdr:col>10</xdr:col>
      <xdr:colOff>152400</xdr:colOff>
      <xdr:row>8</xdr:row>
      <xdr:rowOff>152400</xdr:rowOff>
    </xdr:to>
    <xdr:sp macro="" textlink="'Pivot Report'!B14">
      <xdr:nvSpPr>
        <xdr:cNvPr id="33" name="TextBox 32">
          <a:extLst>
            <a:ext uri="{FF2B5EF4-FFF2-40B4-BE49-F238E27FC236}">
              <a16:creationId xmlns:a16="http://schemas.microsoft.com/office/drawing/2014/main" id="{4B9CF71E-DF6F-01BB-6E4B-BD87861DD140}"/>
            </a:ext>
          </a:extLst>
        </xdr:cNvPr>
        <xdr:cNvSpPr txBox="1"/>
      </xdr:nvSpPr>
      <xdr:spPr>
        <a:xfrm>
          <a:off x="5410200" y="1051560"/>
          <a:ext cx="83820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60DAD8-17CB-44B6-B1E4-3791581D8BF6}" type="TxLink">
            <a:rPr lang="en-US" sz="2400" b="1" i="0" u="none" strike="noStrike">
              <a:solidFill>
                <a:srgbClr val="000000"/>
              </a:solidFill>
              <a:latin typeface="Aptos Narrow"/>
            </a:rPr>
            <a:pPr/>
            <a:t>4.63</a:t>
          </a:fld>
          <a:endParaRPr lang="en-IN" sz="3200" b="1"/>
        </a:p>
      </xdr:txBody>
    </xdr:sp>
    <xdr:clientData/>
  </xdr:twoCellAnchor>
  <xdr:twoCellAnchor editAs="oneCell">
    <xdr:from>
      <xdr:col>1</xdr:col>
      <xdr:colOff>434341</xdr:colOff>
      <xdr:row>5</xdr:row>
      <xdr:rowOff>121920</xdr:rowOff>
    </xdr:from>
    <xdr:to>
      <xdr:col>2</xdr:col>
      <xdr:colOff>358140</xdr:colOff>
      <xdr:row>7</xdr:row>
      <xdr:rowOff>167640</xdr:rowOff>
    </xdr:to>
    <xdr:pic>
      <xdr:nvPicPr>
        <xdr:cNvPr id="35" name="Graphic 34" descr="Sleep with solid fill">
          <a:extLst>
            <a:ext uri="{FF2B5EF4-FFF2-40B4-BE49-F238E27FC236}">
              <a16:creationId xmlns:a16="http://schemas.microsoft.com/office/drawing/2014/main" id="{76A96A57-9AA1-6453-69BD-196261C8561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3941" y="1036320"/>
          <a:ext cx="533399" cy="411480"/>
        </a:xfrm>
        <a:prstGeom prst="rect">
          <a:avLst/>
        </a:prstGeom>
      </xdr:spPr>
    </xdr:pic>
    <xdr:clientData/>
  </xdr:twoCellAnchor>
  <xdr:twoCellAnchor editAs="oneCell">
    <xdr:from>
      <xdr:col>7</xdr:col>
      <xdr:colOff>373380</xdr:colOff>
      <xdr:row>5</xdr:row>
      <xdr:rowOff>144780</xdr:rowOff>
    </xdr:from>
    <xdr:to>
      <xdr:col>8</xdr:col>
      <xdr:colOff>220980</xdr:colOff>
      <xdr:row>8</xdr:row>
      <xdr:rowOff>60960</xdr:rowOff>
    </xdr:to>
    <xdr:pic>
      <xdr:nvPicPr>
        <xdr:cNvPr id="37" name="Graphic 36" descr="Customer review with solid fill">
          <a:extLst>
            <a:ext uri="{FF2B5EF4-FFF2-40B4-BE49-F238E27FC236}">
              <a16:creationId xmlns:a16="http://schemas.microsoft.com/office/drawing/2014/main" id="{3A28C42D-7A01-470C-9167-2C905BE068F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40580" y="1059180"/>
          <a:ext cx="457200" cy="464820"/>
        </a:xfrm>
        <a:prstGeom prst="rect">
          <a:avLst/>
        </a:prstGeom>
      </xdr:spPr>
    </xdr:pic>
    <xdr:clientData/>
  </xdr:twoCellAnchor>
  <xdr:twoCellAnchor editAs="oneCell">
    <xdr:from>
      <xdr:col>4</xdr:col>
      <xdr:colOff>426720</xdr:colOff>
      <xdr:row>5</xdr:row>
      <xdr:rowOff>167640</xdr:rowOff>
    </xdr:from>
    <xdr:to>
      <xdr:col>5</xdr:col>
      <xdr:colOff>259080</xdr:colOff>
      <xdr:row>7</xdr:row>
      <xdr:rowOff>167640</xdr:rowOff>
    </xdr:to>
    <xdr:pic>
      <xdr:nvPicPr>
        <xdr:cNvPr id="38" name="Graphic 37" descr="Hourglass Finished with solid fill">
          <a:extLst>
            <a:ext uri="{FF2B5EF4-FFF2-40B4-BE49-F238E27FC236}">
              <a16:creationId xmlns:a16="http://schemas.microsoft.com/office/drawing/2014/main" id="{89DDF3F1-38DD-4EF8-9CD0-11C5139BE01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65120" y="1082040"/>
          <a:ext cx="441960" cy="365760"/>
        </a:xfrm>
        <a:prstGeom prst="rect">
          <a:avLst/>
        </a:prstGeom>
      </xdr:spPr>
    </xdr:pic>
    <xdr:clientData/>
  </xdr:twoCellAnchor>
  <xdr:twoCellAnchor editAs="oneCell">
    <xdr:from>
      <xdr:col>0</xdr:col>
      <xdr:colOff>53340</xdr:colOff>
      <xdr:row>4</xdr:row>
      <xdr:rowOff>167640</xdr:rowOff>
    </xdr:from>
    <xdr:to>
      <xdr:col>1</xdr:col>
      <xdr:colOff>358140</xdr:colOff>
      <xdr:row>27</xdr:row>
      <xdr:rowOff>15240</xdr:rowOff>
    </xdr:to>
    <mc:AlternateContent xmlns:mc="http://schemas.openxmlformats.org/markup-compatibility/2006" xmlns:a14="http://schemas.microsoft.com/office/drawing/2010/main">
      <mc:Choice Requires="a14">
        <xdr:graphicFrame macro="">
          <xdr:nvGraphicFramePr>
            <xdr:cNvPr id="39" name="Date (Month)">
              <a:extLst>
                <a:ext uri="{FF2B5EF4-FFF2-40B4-BE49-F238E27FC236}">
                  <a16:creationId xmlns:a16="http://schemas.microsoft.com/office/drawing/2014/main" id="{F497FAFA-0812-4AB0-B17C-5BB32668D09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3340" y="868680"/>
              <a:ext cx="868680" cy="4084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426720</xdr:colOff>
      <xdr:row>8</xdr:row>
      <xdr:rowOff>106680</xdr:rowOff>
    </xdr:from>
    <xdr:to>
      <xdr:col>4</xdr:col>
      <xdr:colOff>586740</xdr:colOff>
      <xdr:row>11</xdr:row>
      <xdr:rowOff>114300</xdr:rowOff>
    </xdr:to>
    <xdr:graphicFrame macro="">
      <xdr:nvGraphicFramePr>
        <xdr:cNvPr id="3" name="Chart 2">
          <a:hlinkClick xmlns:r="http://schemas.openxmlformats.org/officeDocument/2006/relationships" r:id="rId8"/>
          <a:extLst>
            <a:ext uri="{FF2B5EF4-FFF2-40B4-BE49-F238E27FC236}">
              <a16:creationId xmlns:a16="http://schemas.microsoft.com/office/drawing/2014/main" id="{11F2A8F4-6BF3-8D66-C31C-DD4121013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434340</xdr:colOff>
      <xdr:row>8</xdr:row>
      <xdr:rowOff>76200</xdr:rowOff>
    </xdr:from>
    <xdr:to>
      <xdr:col>7</xdr:col>
      <xdr:colOff>304800</xdr:colOff>
      <xdr:row>11</xdr:row>
      <xdr:rowOff>45720</xdr:rowOff>
    </xdr:to>
    <xdr:graphicFrame macro="">
      <xdr:nvGraphicFramePr>
        <xdr:cNvPr id="22" name="Chart 21">
          <a:hlinkClick xmlns:r="http://schemas.openxmlformats.org/officeDocument/2006/relationships" r:id="rId10"/>
          <a:extLst>
            <a:ext uri="{FF2B5EF4-FFF2-40B4-BE49-F238E27FC236}">
              <a16:creationId xmlns:a16="http://schemas.microsoft.com/office/drawing/2014/main" id="{A076F0FE-07C8-4BFD-8E7E-278356576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388620</xdr:colOff>
      <xdr:row>8</xdr:row>
      <xdr:rowOff>60960</xdr:rowOff>
    </xdr:from>
    <xdr:to>
      <xdr:col>10</xdr:col>
      <xdr:colOff>266700</xdr:colOff>
      <xdr:row>11</xdr:row>
      <xdr:rowOff>76200</xdr:rowOff>
    </xdr:to>
    <xdr:graphicFrame macro="">
      <xdr:nvGraphicFramePr>
        <xdr:cNvPr id="23" name="Chart 22">
          <a:hlinkClick xmlns:r="http://schemas.openxmlformats.org/officeDocument/2006/relationships" r:id="rId12"/>
          <a:extLst>
            <a:ext uri="{FF2B5EF4-FFF2-40B4-BE49-F238E27FC236}">
              <a16:creationId xmlns:a16="http://schemas.microsoft.com/office/drawing/2014/main" id="{9AB83BC3-7C70-4443-A0EB-15F670B95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426719</xdr:colOff>
          <xdr:row>11</xdr:row>
          <xdr:rowOff>38100</xdr:rowOff>
        </xdr:from>
        <xdr:to>
          <xdr:col>10</xdr:col>
          <xdr:colOff>297180</xdr:colOff>
          <xdr:row>15</xdr:row>
          <xdr:rowOff>60960</xdr:rowOff>
        </xdr:to>
        <xdr:pic>
          <xdr:nvPicPr>
            <xdr:cNvPr id="34" name="Picture 33">
              <a:extLst>
                <a:ext uri="{FF2B5EF4-FFF2-40B4-BE49-F238E27FC236}">
                  <a16:creationId xmlns:a16="http://schemas.microsoft.com/office/drawing/2014/main" id="{69B90C82-8A71-C3B6-45B3-7901937ADCD9}"/>
                </a:ext>
              </a:extLst>
            </xdr:cNvPr>
            <xdr:cNvPicPr>
              <a:picLocks noChangeAspect="1" noChangeArrowheads="1"/>
              <a:extLst>
                <a:ext uri="{84589F7E-364E-4C9E-8A38-B11213B215E9}">
                  <a14:cameraTool cellRange="'Pivot Report'!$A$36:$E$38" spid="_x0000_s1072"/>
                </a:ext>
              </a:extLst>
            </xdr:cNvPicPr>
          </xdr:nvPicPr>
          <xdr:blipFill>
            <a:blip xmlns:r="http://schemas.openxmlformats.org/officeDocument/2006/relationships" r:embed="rId14"/>
            <a:srcRect/>
            <a:stretch>
              <a:fillRect/>
            </a:stretch>
          </xdr:blipFill>
          <xdr:spPr bwMode="auto">
            <a:xfrm>
              <a:off x="1036319" y="2049780"/>
              <a:ext cx="5356861" cy="754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426720</xdr:colOff>
      <xdr:row>15</xdr:row>
      <xdr:rowOff>175260</xdr:rowOff>
    </xdr:from>
    <xdr:to>
      <xdr:col>10</xdr:col>
      <xdr:colOff>251460</xdr:colOff>
      <xdr:row>25</xdr:row>
      <xdr:rowOff>0</xdr:rowOff>
    </xdr:to>
    <xdr:graphicFrame macro="">
      <xdr:nvGraphicFramePr>
        <xdr:cNvPr id="36" name="Chart 35">
          <a:extLst>
            <a:ext uri="{FF2B5EF4-FFF2-40B4-BE49-F238E27FC236}">
              <a16:creationId xmlns:a16="http://schemas.microsoft.com/office/drawing/2014/main" id="{107CCCBD-57E3-441B-8FEF-AC4E826D0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0</xdr:colOff>
      <xdr:row>25</xdr:row>
      <xdr:rowOff>38100</xdr:rowOff>
    </xdr:from>
    <xdr:to>
      <xdr:col>8</xdr:col>
      <xdr:colOff>502920</xdr:colOff>
      <xdr:row>26</xdr:row>
      <xdr:rowOff>121920</xdr:rowOff>
    </xdr:to>
    <xdr:sp macro="" textlink="">
      <xdr:nvSpPr>
        <xdr:cNvPr id="41" name="TextBox 40">
          <a:extLst>
            <a:ext uri="{FF2B5EF4-FFF2-40B4-BE49-F238E27FC236}">
              <a16:creationId xmlns:a16="http://schemas.microsoft.com/office/drawing/2014/main" id="{11EFB62D-AE44-0ECF-0CE7-49D992D51EEC}"/>
            </a:ext>
          </a:extLst>
        </xdr:cNvPr>
        <xdr:cNvSpPr txBox="1"/>
      </xdr:nvSpPr>
      <xdr:spPr>
        <a:xfrm>
          <a:off x="1828800" y="4610100"/>
          <a:ext cx="3550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No. of Patient by Age</a:t>
          </a:r>
          <a:r>
            <a:rPr lang="en-IN" sz="1400" b="1" baseline="0"/>
            <a:t> group</a:t>
          </a:r>
          <a:endParaRPr lang="en-IN" sz="1400" b="1"/>
        </a:p>
      </xdr:txBody>
    </xdr:sp>
    <xdr:clientData/>
  </xdr:twoCellAnchor>
  <xdr:twoCellAnchor>
    <xdr:from>
      <xdr:col>10</xdr:col>
      <xdr:colOff>342900</xdr:colOff>
      <xdr:row>0</xdr:row>
      <xdr:rowOff>68580</xdr:rowOff>
    </xdr:from>
    <xdr:to>
      <xdr:col>15</xdr:col>
      <xdr:colOff>533400</xdr:colOff>
      <xdr:row>9</xdr:row>
      <xdr:rowOff>129540</xdr:rowOff>
    </xdr:to>
    <xdr:graphicFrame macro="">
      <xdr:nvGraphicFramePr>
        <xdr:cNvPr id="42" name="Chart 41">
          <a:extLst>
            <a:ext uri="{FF2B5EF4-FFF2-40B4-BE49-F238E27FC236}">
              <a16:creationId xmlns:a16="http://schemas.microsoft.com/office/drawing/2014/main" id="{1DB2A9D0-09A2-443C-B90E-C692BC78B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449580</xdr:colOff>
      <xdr:row>9</xdr:row>
      <xdr:rowOff>68580</xdr:rowOff>
    </xdr:from>
    <xdr:to>
      <xdr:col>15</xdr:col>
      <xdr:colOff>449580</xdr:colOff>
      <xdr:row>10</xdr:row>
      <xdr:rowOff>137160</xdr:rowOff>
    </xdr:to>
    <xdr:sp macro="" textlink="">
      <xdr:nvSpPr>
        <xdr:cNvPr id="45" name="TextBox 44">
          <a:extLst>
            <a:ext uri="{FF2B5EF4-FFF2-40B4-BE49-F238E27FC236}">
              <a16:creationId xmlns:a16="http://schemas.microsoft.com/office/drawing/2014/main" id="{26EAB214-58A5-E63C-4CCD-C38904E8F31A}"/>
            </a:ext>
          </a:extLst>
        </xdr:cNvPr>
        <xdr:cNvSpPr txBox="1"/>
      </xdr:nvSpPr>
      <xdr:spPr>
        <a:xfrm>
          <a:off x="6545580" y="1714500"/>
          <a:ext cx="3048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Patient Attend Status</a:t>
          </a:r>
        </a:p>
      </xdr:txBody>
    </xdr:sp>
    <xdr:clientData/>
  </xdr:twoCellAnchor>
  <xdr:twoCellAnchor>
    <xdr:from>
      <xdr:col>16</xdr:col>
      <xdr:colOff>83820</xdr:colOff>
      <xdr:row>0</xdr:row>
      <xdr:rowOff>38100</xdr:rowOff>
    </xdr:from>
    <xdr:to>
      <xdr:col>21</xdr:col>
      <xdr:colOff>403860</xdr:colOff>
      <xdr:row>10</xdr:row>
      <xdr:rowOff>144780</xdr:rowOff>
    </xdr:to>
    <xdr:graphicFrame macro="">
      <xdr:nvGraphicFramePr>
        <xdr:cNvPr id="46" name="Chart 45">
          <a:extLst>
            <a:ext uri="{FF2B5EF4-FFF2-40B4-BE49-F238E27FC236}">
              <a16:creationId xmlns:a16="http://schemas.microsoft.com/office/drawing/2014/main" id="{D184B046-4633-4FD9-B17A-E3AD84A09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388620</xdr:colOff>
      <xdr:row>11</xdr:row>
      <xdr:rowOff>152400</xdr:rowOff>
    </xdr:from>
    <xdr:to>
      <xdr:col>21</xdr:col>
      <xdr:colOff>426720</xdr:colOff>
      <xdr:row>27</xdr:row>
      <xdr:rowOff>7620</xdr:rowOff>
    </xdr:to>
    <xdr:graphicFrame macro="">
      <xdr:nvGraphicFramePr>
        <xdr:cNvPr id="47" name="Chart 46">
          <a:extLst>
            <a:ext uri="{FF2B5EF4-FFF2-40B4-BE49-F238E27FC236}">
              <a16:creationId xmlns:a16="http://schemas.microsoft.com/office/drawing/2014/main" id="{F472B7BE-5BDE-4697-8905-3584E7D79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7</xdr:col>
      <xdr:colOff>342900</xdr:colOff>
      <xdr:row>0</xdr:row>
      <xdr:rowOff>68581</xdr:rowOff>
    </xdr:from>
    <xdr:to>
      <xdr:col>10</xdr:col>
      <xdr:colOff>278100</xdr:colOff>
      <xdr:row>4</xdr:row>
      <xdr:rowOff>15240</xdr:rowOff>
    </xdr:to>
    <mc:AlternateContent xmlns:mc="http://schemas.openxmlformats.org/markup-compatibility/2006" xmlns:a14="http://schemas.microsoft.com/office/drawing/2010/main">
      <mc:Choice Requires="a14">
        <xdr:graphicFrame macro="">
          <xdr:nvGraphicFramePr>
            <xdr:cNvPr id="48" name="Date (Year)">
              <a:extLst>
                <a:ext uri="{FF2B5EF4-FFF2-40B4-BE49-F238E27FC236}">
                  <a16:creationId xmlns:a16="http://schemas.microsoft.com/office/drawing/2014/main" id="{99AFE287-C5DC-41BE-B6F0-86F64F366F1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10100" y="68581"/>
              <a:ext cx="176400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289560</xdr:colOff>
      <xdr:row>6</xdr:row>
      <xdr:rowOff>114300</xdr:rowOff>
    </xdr:from>
    <xdr:to>
      <xdr:col>12</xdr:col>
      <xdr:colOff>53340</xdr:colOff>
      <xdr:row>20</xdr:row>
      <xdr:rowOff>53340</xdr:rowOff>
    </xdr:to>
    <xdr:graphicFrame macro="">
      <xdr:nvGraphicFramePr>
        <xdr:cNvPr id="2" name="Chart 1">
          <a:extLst>
            <a:ext uri="{FF2B5EF4-FFF2-40B4-BE49-F238E27FC236}">
              <a16:creationId xmlns:a16="http://schemas.microsoft.com/office/drawing/2014/main" id="{A3897984-A883-4BA9-AD9B-E2949C243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327661</xdr:colOff>
      <xdr:row>6</xdr:row>
      <xdr:rowOff>150584</xdr:rowOff>
    </xdr:from>
    <xdr:to>
      <xdr:col>1</xdr:col>
      <xdr:colOff>236221</xdr:colOff>
      <xdr:row>9</xdr:row>
      <xdr:rowOff>15239</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0D6193FA-F0EF-978E-8EA5-EEDF9AC8EB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7661" y="1247864"/>
          <a:ext cx="518160" cy="4132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4</xdr:row>
      <xdr:rowOff>7620</xdr:rowOff>
    </xdr:from>
    <xdr:to>
      <xdr:col>14</xdr:col>
      <xdr:colOff>419100</xdr:colOff>
      <xdr:row>24</xdr:row>
      <xdr:rowOff>76200</xdr:rowOff>
    </xdr:to>
    <xdr:graphicFrame macro="">
      <xdr:nvGraphicFramePr>
        <xdr:cNvPr id="2" name="Chart 1">
          <a:extLst>
            <a:ext uri="{FF2B5EF4-FFF2-40B4-BE49-F238E27FC236}">
              <a16:creationId xmlns:a16="http://schemas.microsoft.com/office/drawing/2014/main" id="{5B339EB6-F007-4A6A-947A-EC8D25532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4</xdr:row>
      <xdr:rowOff>60960</xdr:rowOff>
    </xdr:from>
    <xdr:to>
      <xdr:col>1</xdr:col>
      <xdr:colOff>152400</xdr:colOff>
      <xdr:row>6</xdr:row>
      <xdr:rowOff>91440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B49FC520-5D4C-1588-A551-B31861A51E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40" y="792480"/>
          <a:ext cx="594360" cy="396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243840</xdr:colOff>
      <xdr:row>4</xdr:row>
      <xdr:rowOff>68580</xdr:rowOff>
    </xdr:from>
    <xdr:to>
      <xdr:col>12</xdr:col>
      <xdr:colOff>548640</xdr:colOff>
      <xdr:row>20</xdr:row>
      <xdr:rowOff>167640</xdr:rowOff>
    </xdr:to>
    <xdr:graphicFrame macro="">
      <xdr:nvGraphicFramePr>
        <xdr:cNvPr id="4" name="Chart 3">
          <a:extLst>
            <a:ext uri="{FF2B5EF4-FFF2-40B4-BE49-F238E27FC236}">
              <a16:creationId xmlns:a16="http://schemas.microsoft.com/office/drawing/2014/main" id="{78E1E779-8918-4B1B-A8CF-316B85D5B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167640</xdr:colOff>
      <xdr:row>4</xdr:row>
      <xdr:rowOff>60960</xdr:rowOff>
    </xdr:from>
    <xdr:to>
      <xdr:col>1</xdr:col>
      <xdr:colOff>152400</xdr:colOff>
      <xdr:row>6</xdr:row>
      <xdr:rowOff>91440</xdr:rowOff>
    </xdr:to>
    <xdr:pic>
      <xdr:nvPicPr>
        <xdr:cNvPr id="3" name="Graphic 2" descr="House with solid fill">
          <a:hlinkClick xmlns:r="http://schemas.openxmlformats.org/officeDocument/2006/relationships" r:id="rId2"/>
          <a:extLst>
            <a:ext uri="{FF2B5EF4-FFF2-40B4-BE49-F238E27FC236}">
              <a16:creationId xmlns:a16="http://schemas.microsoft.com/office/drawing/2014/main" id="{607056E9-C846-4529-9E5D-34490DB02A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7640" y="792480"/>
          <a:ext cx="594360" cy="3962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58333332" createdVersion="5" refreshedVersion="8" minRefreshableVersion="3" recordCount="0" supportSubquery="1" supportAdvancedDrill="1" xr:uid="{6E3C7178-5C94-472E-8109-F6C1E7D1BA15}">
  <cacheSource type="external" connectionId="3"/>
  <cacheFields count="4">
    <cacheField name="[Measures].[Distinct Count of Patient Id]" caption="Distinct Count of Patient Id" numFmtId="0" hierarchy="24" level="32767"/>
    <cacheField name="[Calender 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58564817" createdVersion="5" refreshedVersion="8" minRefreshableVersion="3" recordCount="0" supportSubquery="1" supportAdvancedDrill="1" xr:uid="{35B37E9B-E163-47A6-9937-07FB8DF62866}">
  <cacheSource type="external" connectionId="3"/>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58680556" createdVersion="5" refreshedVersion="8" minRefreshableVersion="3" recordCount="0" supportSubquery="1" supportAdvancedDrill="1" xr:uid="{BF7EBA58-434E-4863-BC91-B349AB550BF6}">
  <cacheSource type="external" connectionId="3"/>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5891204" createdVersion="5" refreshedVersion="8" minRefreshableVersion="3" recordCount="0" supportSubquery="1" supportAdvancedDrill="1" xr:uid="{94D0A49A-FBAF-49BB-925B-0ED1FE8F1786}">
  <cacheSource type="external" connectionId="3"/>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59490741" createdVersion="5" refreshedVersion="8" minRefreshableVersion="3" recordCount="0" supportSubquery="1" supportAdvancedDrill="1" xr:uid="{3263F279-E62F-4D15-8430-54E9585C2402}">
  <cacheSource type="external" connectionId="3"/>
  <cacheFields count="4">
    <cacheField name="[Calender 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59953703" createdVersion="5" refreshedVersion="8" minRefreshableVersion="3" recordCount="0" supportSubquery="1" supportAdvancedDrill="1" xr:uid="{7C29D9CF-45DD-4CEE-8C3D-1E3863916EB0}">
  <cacheSource type="external" connectionId="3"/>
  <cacheFields count="4">
    <cacheField name="[Calender 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60416665" createdVersion="5" refreshedVersion="8" minRefreshableVersion="3" recordCount="0" supportSubquery="1" supportAdvancedDrill="1" xr:uid="{8D782690-FE0E-4CF4-94DC-3B2C3CA6AB31}">
  <cacheSource type="external" connectionId="3"/>
  <cacheFields count="5">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ed"/>
        <s v="Not Admited"/>
      </sharedItems>
    </cacheField>
    <cacheField name="[Calende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60995373" createdVersion="5" refreshedVersion="8" minRefreshableVersion="3" recordCount="0" supportSubquery="1" supportAdvancedDrill="1" xr:uid="{04BC5B1F-0B07-4889-B1B6-39BD24F886AA}">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61574073" createdVersion="5" refreshedVersion="8" minRefreshableVersion="3" recordCount="0" supportSubquery="1" supportAdvancedDrill="1" xr:uid="{F5B9DD65-8728-48E1-8EBC-BD81B01D1EC1}">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ey"/>
        <s v="On Time"/>
      </sharedItems>
    </cacheField>
    <cacheField name="[Measures].[Count of Patient attend status]" caption="Count of Patient attend status"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62152781" createdVersion="5" refreshedVersion="8" minRefreshableVersion="3" recordCount="0" supportSubquery="1" supportAdvancedDrill="1" xr:uid="{F2966C55-0E08-4722-8FF4-5EC0EB77BC49}">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62731481" createdVersion="5" refreshedVersion="8" minRefreshableVersion="3" recordCount="0" supportSubquery="1" supportAdvancedDrill="1" xr:uid="{07A02AA7-CB0A-4347-A81E-966C7210FDCD}">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94.998863194443" createdVersion="5" refreshedVersion="8" minRefreshableVersion="3" recordCount="0" supportSubquery="1" supportAdvancedDrill="1" xr:uid="{DC1F18BD-6540-434C-BC4F-08A2BE50086A}">
  <cacheSource type="external" connectionId="3"/>
  <cacheFields count="4">
    <cacheField name="[Calender Table].[Date (Month)].[Date (Month)]" caption="Date (Month)" numFmtId="0" hierarchy="1" level="1">
      <sharedItems count="1">
        <s v="Mar"/>
      </sharedItems>
    </cacheField>
    <cacheField name="[Calender 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er Table].[Date (Quarter)].[Date (Quarter)]" caption="Date (Quarter)" numFmtId="0" hierarchy="4" level="1">
      <sharedItems count="1">
        <s v="Qtr1"/>
      </sharedItems>
    </cacheField>
    <cacheField name="[Calender Table].[Date (Year)].[Date (Year)]" caption="Date (Year)" numFmtId="0" hierarchy="3" level="1">
      <sharedItems count="1">
        <s v="2024"/>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ky" refreshedDate="46089.49524236111" createdVersion="3" refreshedVersion="8" minRefreshableVersion="3" recordCount="0" supportSubquery="1" supportAdvancedDrill="1" xr:uid="{B38A000B-44D6-4494-B717-596C94742CE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216652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DFF1B4-DF80-48FE-A83A-CE1D8025ADFB}" name="PivotTable8" cacheId="7" applyNumberFormats="0" applyBorderFormats="0" applyFontFormats="0" applyPatternFormats="0" applyAlignmentFormats="0" applyWidthHeightFormats="1" dataCaption="Values" tag="8c81dc17-37db-4c91-af76-604f9f94da81" updatedVersion="8" minRefreshableVersion="3" subtotalHiddenItems="1" itemPrintTitles="1" createdVersion="5" indent="0" outline="1" outlineData="1" multipleFieldFilters="0" chartFormat="8">
  <location ref="A42:B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A426A6-29F0-4F72-BC15-D7E10D6050D9}" name="PivotTable6" cacheId="5" applyNumberFormats="0" applyBorderFormats="0" applyFontFormats="0" applyPatternFormats="0" applyAlignmentFormats="0" applyWidthHeightFormats="1" dataCaption="Values" tag="ebc59aed-0a14-41f7-9466-bde8305a73ed" updatedVersion="8" minRefreshableVersion="3" subtotalHiddenItems="1" itemPrintTitles="1" createdVersion="5" indent="0" outline="1" outlineData="1" multipleFieldFilters="0" chartFormat="25">
  <location ref="T6:U34"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2">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A44256-F893-4B2E-868D-F30900BD75FC}" name="PivotTable2" cacheId="4" applyNumberFormats="0" applyBorderFormats="0" applyFontFormats="0" applyPatternFormats="0" applyAlignmentFormats="0" applyWidthHeightFormats="1" dataCaption="Values" tag="ebc59aed-0a14-41f7-9466-bde8305a73ed" updatedVersion="8" minRefreshableVersion="3" subtotalHiddenItems="1" itemPrintTitles="1" createdVersion="5" indent="0" outline="1" outlineData="1" multipleFieldFilters="0" chartFormat="19">
  <location ref="N6:O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3">
      <pivotArea collapsedLevelsAreSubtotals="1" fieldPosition="0">
        <references count="1">
          <reference field="0" count="0"/>
        </references>
      </pivotArea>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9BAD47-8F37-4BEE-9F84-72D591C24095}" name="PivotTable12" cacheId="11" applyNumberFormats="0" applyBorderFormats="0" applyFontFormats="0" applyPatternFormats="0" applyAlignmentFormats="0" applyWidthHeightFormats="1" dataCaption="Values" tag="8c81dc17-37db-4c91-af76-604f9f94da81" updatedVersion="8" minRefreshableVersion="3" subtotalHiddenItems="1" itemPrintTitles="1" createdVersion="5" indent="0" outline="1" outlineData="1" multipleFieldFilters="0" chartFormat="20">
  <location ref="A73:A7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
      <pivotArea outline="0" collapsedLevelsAreSubtotals="1" fieldPosition="0"/>
    </format>
  </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709489-6815-4FB6-A50B-B1B9F4E08790}" name="PivotTable1" cacheId="1" applyNumberFormats="0" applyBorderFormats="0" applyFontFormats="0" applyPatternFormats="0" applyAlignmentFormats="0" applyWidthHeightFormats="1" dataCaption="Values" tag="fd99c77e-9d27-4a04-8e9c-328e741268fe" updatedVersion="8" minRefreshableVersion="3" subtotalHiddenItems="1" itemPrintTitles="1" createdVersion="5" indent="0" outline="1" outlineData="1" multipleFieldFilters="0">
  <location ref="B4:B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C6B71B-9DD7-46C8-9FE1-27A5883496BF}" name="PivotTable7" cacheId="6" applyNumberFormats="0" applyBorderFormats="0" applyFontFormats="0" applyPatternFormats="0" applyAlignmentFormats="0" applyWidthHeightFormats="1" dataCaption="Values" tag="8c81dc17-37db-4c91-af76-604f9f94da81" updatedVersion="8" minRefreshableVersion="3" subtotalHiddenItems="1" itemPrintTitles="1" createdVersion="5" indent="0" outline="1" outlineData="1" multipleFieldFilters="0" chartFormat="4">
  <location ref="A28:C3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7">
      <pivotArea outline="0" collapsedLevelsAreSubtotals="1" fieldPosition="0"/>
    </format>
    <format dxfId="6">
      <pivotArea collapsedLevelsAreSubtotals="1" fieldPosition="0">
        <references count="1">
          <reference field="2" count="0"/>
        </references>
      </pivotArea>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821555-6803-4C9E-A639-D154700774B0}" name="PivotTable9" cacheId="8" applyNumberFormats="0" applyBorderFormats="0" applyFontFormats="0" applyPatternFormats="0" applyAlignmentFormats="0" applyWidthHeightFormats="1" dataCaption="Values" tag="8c81dc17-37db-4c91-af76-604f9f94da81" updatedVersion="8" minRefreshableVersion="3" subtotalHiddenItems="1" itemPrintTitles="1" createdVersion="5" indent="0" outline="1" outlineData="1" multipleFieldFilters="0" chartFormat="13">
  <location ref="D42:E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8">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B1EABD-8D09-4B01-821C-DBCA7D078999}" name="PivotTable5" cacheId="0" applyNumberFormats="0" applyBorderFormats="0" applyFontFormats="0" applyPatternFormats="0" applyAlignmentFormats="0" applyWidthHeightFormats="1" dataCaption="Values" tag="ebc59aed-0a14-41f7-9466-bde8305a73ed" updatedVersion="8" minRefreshableVersion="3" subtotalHiddenItems="1" itemPrintTitles="1" createdVersion="5" indent="0" outline="1" outlineData="1" multipleFieldFilters="0" chartFormat="11">
  <location ref="J5:K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4"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3F435C-2B89-4DBA-AA52-57DD927CFDF1}" name="PivotTable4" cacheId="3" applyNumberFormats="0" applyBorderFormats="0" applyFontFormats="0" applyPatternFormats="0" applyAlignmentFormats="0" applyWidthHeightFormats="1" dataCaption="Values" tag="8c81dc17-37db-4c91-af76-604f9f94da81" updatedVersion="8" minRefreshableVersion="3"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025841-C94E-4EDF-BF35-EDE1DAA0589E}" name="PivotTable11" cacheId="10" applyNumberFormats="0" applyBorderFormats="0" applyFontFormats="0" applyPatternFormats="0" applyAlignmentFormats="0" applyWidthHeightFormats="1" dataCaption="Values" tag="8c81dc17-37db-4c91-af76-604f9f94da81" updatedVersion="8" minRefreshableVersion="3" subtotalHiddenItems="1" itemPrintTitles="1" createdVersion="5" indent="0" outline="1" outlineData="1" multipleFieldFilters="0" chartFormat="20">
  <location ref="A60:B6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2">
    <format dxfId="11">
      <pivotArea outline="0" collapsedLevelsAreSubtotals="1" fieldPosition="0"/>
    </format>
    <format dxfId="10">
      <pivotArea collapsedLevelsAreSubtotals="1" fieldPosition="0">
        <references count="1">
          <reference field="1" count="0"/>
        </references>
      </pivotArea>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285DD3-0B0D-49AE-B99B-E83EA3E5914A}" name="PivotTable3" cacheId="2" applyNumberFormats="0" applyBorderFormats="0" applyFontFormats="0" applyPatternFormats="0" applyAlignmentFormats="0" applyWidthHeightFormats="1" dataCaption="Values" tag="7b57582b-b2dd-4b3a-90b4-c8e2602ead43" updatedVersion="8"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D3CAC2-A1E9-4F8C-B83A-38A8F409FBE7}" name="PivotTable10" cacheId="9" applyNumberFormats="0" applyBorderFormats="0" applyFontFormats="0" applyPatternFormats="0" applyAlignmentFormats="0" applyWidthHeightFormats="1" dataCaption="Values" tag="8c81dc17-37db-4c91-af76-604f9f94da81" updatedVersion="8" minRefreshableVersion="3" subtotalHiddenItems="1" itemPrintTitles="1" createdVersion="5" indent="0" outline="1" outlineData="1" multipleFieldFilters="0" chartFormat="17">
  <location ref="A54: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3">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0"/>
          </reference>
        </references>
      </pivotArea>
    </chartFormat>
    <chartFormat chart="1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Apr]"/>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374E6F3-4DA8-455B-B1B3-B40E4A642433}" sourceName="[Calender Table].[Date (Month)]">
  <pivotTables>
    <pivotTable tabId="1" name="PivotTable5"/>
    <pivotTable tabId="1" name="PivotTable1"/>
    <pivotTable tabId="1" name="PivotTable3"/>
    <pivotTable tabId="1" name="PivotTable4"/>
    <pivotTable tabId="1" name="PivotTable2"/>
    <pivotTable tabId="1" name="PivotTable6"/>
    <pivotTable tabId="1" name="PivotTable7"/>
    <pivotTable tabId="1" name="PivotTable8"/>
    <pivotTable tabId="1" name="PivotTable9"/>
    <pivotTable tabId="1" name="PivotTable10"/>
    <pivotTable tabId="1" name="PivotTable11"/>
    <pivotTable tabId="1" name="PivotTable12"/>
  </pivotTables>
  <data>
    <olap pivotCacheId="2021665227">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CAA8946-31C6-430F-A04A-3AACE4F33116}" sourceName="[Calende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21665227">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8FD66D3-B0B0-4E0C-8D5F-802C02BC7204}" cache="Slicer_Date__Month" caption="Date (Month)" showCaption="0" level="1" style="SlicerStyleDark1 2" rowHeight="288000"/>
  <slicer name="Date (Year)" xr10:uid="{FC032F12-95E1-479F-A254-4DCC34DFF2CA}" cache="Slicer_Date__Year" caption="Date (Year)" columnCount="2" showCaption="0" level="1" style="SlicerStyleDark1 2"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CAFC9-5F45-4448-854E-8318128F80E9}">
  <dimension ref="A3:U75"/>
  <sheetViews>
    <sheetView zoomScaleNormal="100" workbookViewId="0">
      <selection activeCell="U28" sqref="U28"/>
    </sheetView>
  </sheetViews>
  <sheetFormatPr defaultRowHeight="14.4" x14ac:dyDescent="0.3"/>
  <cols>
    <col min="1" max="1" width="21.21875" customWidth="1"/>
    <col min="2" max="2" width="25" customWidth="1"/>
    <col min="3" max="3" width="10.44140625" customWidth="1"/>
    <col min="4" max="4" width="16.44140625" customWidth="1"/>
    <col min="5" max="5" width="13.33203125" customWidth="1"/>
    <col min="6" max="6" width="10" customWidth="1"/>
    <col min="7" max="7" width="11" customWidth="1"/>
    <col min="8" max="8" width="14.109375" customWidth="1"/>
    <col min="10" max="10" width="22" customWidth="1"/>
    <col min="14" max="14" width="12.44140625" bestFit="1" customWidth="1"/>
    <col min="21" max="21" width="14.77734375" customWidth="1"/>
  </cols>
  <sheetData>
    <row r="3" spans="2:21" x14ac:dyDescent="0.3">
      <c r="B3" t="s">
        <v>1</v>
      </c>
      <c r="J3" t="s">
        <v>7</v>
      </c>
    </row>
    <row r="4" spans="2:21" x14ac:dyDescent="0.3">
      <c r="B4" t="s">
        <v>0</v>
      </c>
      <c r="N4" t="s">
        <v>8</v>
      </c>
      <c r="T4" t="s">
        <v>11</v>
      </c>
    </row>
    <row r="5" spans="2:21" x14ac:dyDescent="0.3">
      <c r="B5">
        <v>469</v>
      </c>
      <c r="J5" s="1" t="s">
        <v>4</v>
      </c>
      <c r="K5" t="s">
        <v>0</v>
      </c>
    </row>
    <row r="6" spans="2:21" x14ac:dyDescent="0.3">
      <c r="J6" s="4" t="s">
        <v>45</v>
      </c>
      <c r="K6">
        <v>12</v>
      </c>
      <c r="N6" s="1" t="s">
        <v>4</v>
      </c>
      <c r="O6" t="s">
        <v>2</v>
      </c>
      <c r="T6" s="1" t="s">
        <v>4</v>
      </c>
      <c r="U6" t="s">
        <v>3</v>
      </c>
    </row>
    <row r="7" spans="2:21" x14ac:dyDescent="0.3">
      <c r="J7" s="4" t="s">
        <v>46</v>
      </c>
      <c r="K7">
        <v>19</v>
      </c>
      <c r="N7" s="4" t="s">
        <v>45</v>
      </c>
      <c r="O7" s="2">
        <v>31.833333333333332</v>
      </c>
      <c r="T7" s="4" t="s">
        <v>46</v>
      </c>
      <c r="U7" s="2">
        <v>4.5999999999999996</v>
      </c>
    </row>
    <row r="8" spans="2:21" x14ac:dyDescent="0.3">
      <c r="J8" s="4" t="s">
        <v>47</v>
      </c>
      <c r="K8">
        <v>17</v>
      </c>
      <c r="N8" s="4" t="s">
        <v>46</v>
      </c>
      <c r="O8" s="2">
        <v>39.368421052631582</v>
      </c>
      <c r="T8" s="4" t="s">
        <v>47</v>
      </c>
      <c r="U8" s="2">
        <v>4.5999999999999996</v>
      </c>
    </row>
    <row r="9" spans="2:21" x14ac:dyDescent="0.3">
      <c r="B9" t="s">
        <v>2</v>
      </c>
      <c r="J9" s="4" t="s">
        <v>48</v>
      </c>
      <c r="K9">
        <v>20</v>
      </c>
      <c r="N9" s="4" t="s">
        <v>47</v>
      </c>
      <c r="O9" s="2">
        <v>32.352941176470587</v>
      </c>
      <c r="T9" s="4" t="s">
        <v>48</v>
      </c>
      <c r="U9" s="2">
        <v>5.666666666666667</v>
      </c>
    </row>
    <row r="10" spans="2:21" x14ac:dyDescent="0.3">
      <c r="B10" s="2">
        <v>35.044776119402982</v>
      </c>
      <c r="J10" s="4" t="s">
        <v>49</v>
      </c>
      <c r="K10">
        <v>15</v>
      </c>
      <c r="N10" s="4" t="s">
        <v>48</v>
      </c>
      <c r="O10" s="2">
        <v>34.049999999999997</v>
      </c>
      <c r="T10" s="4" t="s">
        <v>49</v>
      </c>
      <c r="U10" s="2">
        <v>3.4</v>
      </c>
    </row>
    <row r="11" spans="2:21" x14ac:dyDescent="0.3">
      <c r="J11" s="4" t="s">
        <v>50</v>
      </c>
      <c r="K11">
        <v>17</v>
      </c>
      <c r="N11" s="4" t="s">
        <v>49</v>
      </c>
      <c r="O11" s="2">
        <v>31.8</v>
      </c>
      <c r="T11" s="4" t="s">
        <v>50</v>
      </c>
      <c r="U11" s="2">
        <v>4.333333333333333</v>
      </c>
    </row>
    <row r="12" spans="2:21" x14ac:dyDescent="0.3">
      <c r="J12" s="4" t="s">
        <v>51</v>
      </c>
      <c r="K12">
        <v>16</v>
      </c>
      <c r="N12" s="4" t="s">
        <v>50</v>
      </c>
      <c r="O12" s="2">
        <v>37.823529411764703</v>
      </c>
      <c r="T12" s="4" t="s">
        <v>51</v>
      </c>
      <c r="U12" s="2">
        <v>4.4000000000000004</v>
      </c>
    </row>
    <row r="13" spans="2:21" x14ac:dyDescent="0.3">
      <c r="B13" t="s">
        <v>3</v>
      </c>
      <c r="J13" s="4" t="s">
        <v>52</v>
      </c>
      <c r="K13">
        <v>10</v>
      </c>
      <c r="N13" s="4" t="s">
        <v>51</v>
      </c>
      <c r="O13" s="2">
        <v>31.875</v>
      </c>
      <c r="T13" s="4" t="s">
        <v>52</v>
      </c>
      <c r="U13" s="2">
        <v>4.25</v>
      </c>
    </row>
    <row r="14" spans="2:21" x14ac:dyDescent="0.3">
      <c r="B14" s="2">
        <v>4.6269841269841274</v>
      </c>
      <c r="J14" s="4" t="s">
        <v>53</v>
      </c>
      <c r="K14">
        <v>15</v>
      </c>
      <c r="N14" s="4" t="s">
        <v>52</v>
      </c>
      <c r="O14" s="2">
        <v>27.3</v>
      </c>
      <c r="T14" s="4" t="s">
        <v>53</v>
      </c>
      <c r="U14" s="2">
        <v>4.5999999999999996</v>
      </c>
    </row>
    <row r="15" spans="2:21" x14ac:dyDescent="0.3">
      <c r="J15" s="4" t="s">
        <v>54</v>
      </c>
      <c r="K15">
        <v>14</v>
      </c>
      <c r="N15" s="4" t="s">
        <v>53</v>
      </c>
      <c r="O15" s="2">
        <v>31.933333333333334</v>
      </c>
      <c r="T15" s="4" t="s">
        <v>55</v>
      </c>
      <c r="U15" s="2">
        <v>2.3333333333333335</v>
      </c>
    </row>
    <row r="16" spans="2:21" x14ac:dyDescent="0.3">
      <c r="J16" s="4" t="s">
        <v>55</v>
      </c>
      <c r="K16">
        <v>16</v>
      </c>
      <c r="N16" s="4" t="s">
        <v>54</v>
      </c>
      <c r="O16" s="2">
        <v>30.5</v>
      </c>
      <c r="T16" s="4" t="s">
        <v>56</v>
      </c>
      <c r="U16" s="2">
        <v>9</v>
      </c>
    </row>
    <row r="17" spans="1:21" x14ac:dyDescent="0.3">
      <c r="J17" s="4" t="s">
        <v>56</v>
      </c>
      <c r="K17">
        <v>12</v>
      </c>
      <c r="N17" s="4" t="s">
        <v>55</v>
      </c>
      <c r="O17" s="2">
        <v>38.0625</v>
      </c>
      <c r="T17" s="4" t="s">
        <v>57</v>
      </c>
      <c r="U17" s="2">
        <v>2.75</v>
      </c>
    </row>
    <row r="18" spans="1:21" x14ac:dyDescent="0.3">
      <c r="J18" s="4" t="s">
        <v>57</v>
      </c>
      <c r="K18">
        <v>12</v>
      </c>
      <c r="N18" s="4" t="s">
        <v>56</v>
      </c>
      <c r="O18" s="2">
        <v>36.333333333333336</v>
      </c>
      <c r="T18" s="4" t="s">
        <v>58</v>
      </c>
      <c r="U18" s="2">
        <v>6.8888888888888893</v>
      </c>
    </row>
    <row r="19" spans="1:21" x14ac:dyDescent="0.3">
      <c r="J19" s="4" t="s">
        <v>58</v>
      </c>
      <c r="K19">
        <v>13</v>
      </c>
      <c r="N19" s="4" t="s">
        <v>57</v>
      </c>
      <c r="O19" s="2">
        <v>27</v>
      </c>
      <c r="T19" s="4" t="s">
        <v>59</v>
      </c>
      <c r="U19" s="2">
        <v>5</v>
      </c>
    </row>
    <row r="20" spans="1:21" x14ac:dyDescent="0.3">
      <c r="J20" s="4" t="s">
        <v>59</v>
      </c>
      <c r="K20">
        <v>20</v>
      </c>
      <c r="N20" s="4" t="s">
        <v>58</v>
      </c>
      <c r="O20" s="2">
        <v>37.46153846153846</v>
      </c>
      <c r="T20" s="4" t="s">
        <v>60</v>
      </c>
      <c r="U20" s="2">
        <v>4.166666666666667</v>
      </c>
    </row>
    <row r="21" spans="1:21" x14ac:dyDescent="0.3">
      <c r="J21" s="4" t="s">
        <v>60</v>
      </c>
      <c r="K21">
        <v>17</v>
      </c>
      <c r="N21" s="4" t="s">
        <v>59</v>
      </c>
      <c r="O21" s="2">
        <v>39.25</v>
      </c>
      <c r="T21" s="4" t="s">
        <v>61</v>
      </c>
      <c r="U21" s="2">
        <v>2.5</v>
      </c>
    </row>
    <row r="22" spans="1:21" x14ac:dyDescent="0.3">
      <c r="J22" s="4" t="s">
        <v>61</v>
      </c>
      <c r="K22">
        <v>10</v>
      </c>
      <c r="N22" s="4" t="s">
        <v>60</v>
      </c>
      <c r="O22" s="2">
        <v>33.647058823529413</v>
      </c>
      <c r="T22" s="4" t="s">
        <v>62</v>
      </c>
      <c r="U22" s="2">
        <v>6</v>
      </c>
    </row>
    <row r="23" spans="1:21" x14ac:dyDescent="0.3">
      <c r="J23" s="4" t="s">
        <v>62</v>
      </c>
      <c r="K23">
        <v>16</v>
      </c>
      <c r="N23" s="4" t="s">
        <v>61</v>
      </c>
      <c r="O23" s="2">
        <v>42.2</v>
      </c>
      <c r="T23" s="4" t="s">
        <v>63</v>
      </c>
      <c r="U23" s="2">
        <v>3.8</v>
      </c>
    </row>
    <row r="24" spans="1:21" x14ac:dyDescent="0.3">
      <c r="J24" s="4" t="s">
        <v>63</v>
      </c>
      <c r="K24">
        <v>13</v>
      </c>
      <c r="N24" s="4" t="s">
        <v>62</v>
      </c>
      <c r="O24" s="2">
        <v>33.3125</v>
      </c>
      <c r="T24" s="4" t="s">
        <v>64</v>
      </c>
      <c r="U24" s="2">
        <v>3.6</v>
      </c>
    </row>
    <row r="25" spans="1:21" x14ac:dyDescent="0.3">
      <c r="J25" s="4" t="s">
        <v>64</v>
      </c>
      <c r="K25">
        <v>16</v>
      </c>
      <c r="N25" s="4" t="s">
        <v>63</v>
      </c>
      <c r="O25" s="2">
        <v>25.76923076923077</v>
      </c>
      <c r="T25" s="4" t="s">
        <v>66</v>
      </c>
      <c r="U25" s="2">
        <v>5.8571428571428568</v>
      </c>
    </row>
    <row r="26" spans="1:21" x14ac:dyDescent="0.3">
      <c r="J26" s="4" t="s">
        <v>65</v>
      </c>
      <c r="K26">
        <v>18</v>
      </c>
      <c r="N26" s="4" t="s">
        <v>64</v>
      </c>
      <c r="O26" s="2">
        <v>37.125</v>
      </c>
      <c r="T26" s="4" t="s">
        <v>67</v>
      </c>
      <c r="U26" s="2">
        <v>6.25</v>
      </c>
    </row>
    <row r="27" spans="1:21" x14ac:dyDescent="0.3">
      <c r="J27" s="4" t="s">
        <v>66</v>
      </c>
      <c r="K27">
        <v>21</v>
      </c>
      <c r="N27" s="4" t="s">
        <v>65</v>
      </c>
      <c r="O27" s="2">
        <v>37</v>
      </c>
      <c r="T27" s="4" t="s">
        <v>68</v>
      </c>
      <c r="U27" s="2">
        <v>4.666666666666667</v>
      </c>
    </row>
    <row r="28" spans="1:21" x14ac:dyDescent="0.3">
      <c r="A28" s="1" t="s">
        <v>4</v>
      </c>
      <c r="B28" t="s">
        <v>12</v>
      </c>
      <c r="C28" t="s">
        <v>15</v>
      </c>
      <c r="J28" s="4" t="s">
        <v>67</v>
      </c>
      <c r="K28">
        <v>15</v>
      </c>
      <c r="N28" s="4" t="s">
        <v>66</v>
      </c>
      <c r="O28" s="2">
        <v>36.80952380952381</v>
      </c>
      <c r="T28" s="4" t="s">
        <v>69</v>
      </c>
      <c r="U28" s="2">
        <v>0</v>
      </c>
    </row>
    <row r="29" spans="1:21" x14ac:dyDescent="0.3">
      <c r="A29" s="4" t="s">
        <v>13</v>
      </c>
      <c r="B29" s="6">
        <v>217</v>
      </c>
      <c r="C29" s="7">
        <v>0.46268656716417911</v>
      </c>
      <c r="E29" s="7"/>
      <c r="F29" s="7"/>
      <c r="G29" s="7"/>
      <c r="H29" s="7"/>
      <c r="J29" s="4" t="s">
        <v>68</v>
      </c>
      <c r="K29">
        <v>18</v>
      </c>
      <c r="N29" s="4" t="s">
        <v>67</v>
      </c>
      <c r="O29" s="2">
        <v>39.799999999999997</v>
      </c>
      <c r="T29" s="4" t="s">
        <v>70</v>
      </c>
      <c r="U29" s="2">
        <v>4.666666666666667</v>
      </c>
    </row>
    <row r="30" spans="1:21" x14ac:dyDescent="0.3">
      <c r="A30" s="4" t="s">
        <v>14</v>
      </c>
      <c r="B30" s="6">
        <v>252</v>
      </c>
      <c r="C30" s="7">
        <v>0.53731343283582089</v>
      </c>
      <c r="E30" s="7"/>
      <c r="F30" s="7"/>
      <c r="G30" s="7"/>
      <c r="H30" s="7"/>
      <c r="J30" s="4" t="s">
        <v>69</v>
      </c>
      <c r="K30">
        <v>15</v>
      </c>
      <c r="N30" s="4" t="s">
        <v>68</v>
      </c>
      <c r="O30" s="2">
        <v>38</v>
      </c>
      <c r="T30" s="4" t="s">
        <v>71</v>
      </c>
      <c r="U30" s="2">
        <v>2.8</v>
      </c>
    </row>
    <row r="31" spans="1:21" x14ac:dyDescent="0.3">
      <c r="A31" s="4" t="s">
        <v>5</v>
      </c>
      <c r="B31" s="2">
        <v>469</v>
      </c>
      <c r="C31" s="7">
        <v>1</v>
      </c>
      <c r="E31" s="7"/>
      <c r="F31" s="7"/>
      <c r="G31" s="7"/>
      <c r="H31" s="7"/>
      <c r="J31" s="4" t="s">
        <v>70</v>
      </c>
      <c r="K31">
        <v>18</v>
      </c>
      <c r="N31" s="4" t="s">
        <v>69</v>
      </c>
      <c r="O31" s="2">
        <v>36.133333333333333</v>
      </c>
      <c r="T31" s="4" t="s">
        <v>72</v>
      </c>
      <c r="U31" s="2">
        <v>4.2</v>
      </c>
    </row>
    <row r="32" spans="1:21" x14ac:dyDescent="0.3">
      <c r="J32" s="4" t="s">
        <v>71</v>
      </c>
      <c r="K32">
        <v>19</v>
      </c>
      <c r="N32" s="4" t="s">
        <v>70</v>
      </c>
      <c r="O32" s="2">
        <v>36.555555555555557</v>
      </c>
      <c r="T32" s="4" t="s">
        <v>73</v>
      </c>
      <c r="U32" s="2">
        <v>2.5</v>
      </c>
    </row>
    <row r="33" spans="1:21" x14ac:dyDescent="0.3">
      <c r="J33" s="4" t="s">
        <v>72</v>
      </c>
      <c r="K33">
        <v>16</v>
      </c>
      <c r="N33" s="4" t="s">
        <v>71</v>
      </c>
      <c r="O33" s="2">
        <v>39.210526315789473</v>
      </c>
      <c r="T33" s="4" t="s">
        <v>74</v>
      </c>
      <c r="U33" s="2">
        <v>5</v>
      </c>
    </row>
    <row r="34" spans="1:21" x14ac:dyDescent="0.3">
      <c r="J34" s="4" t="s">
        <v>73</v>
      </c>
      <c r="K34">
        <v>13</v>
      </c>
      <c r="N34" s="4" t="s">
        <v>72</v>
      </c>
      <c r="O34" s="2">
        <v>31.1875</v>
      </c>
      <c r="T34" s="4" t="s">
        <v>5</v>
      </c>
      <c r="U34">
        <v>4.6269841269841274</v>
      </c>
    </row>
    <row r="35" spans="1:21" x14ac:dyDescent="0.3">
      <c r="J35" s="4" t="s">
        <v>74</v>
      </c>
      <c r="K35">
        <v>16</v>
      </c>
      <c r="N35" s="4" t="s">
        <v>73</v>
      </c>
      <c r="O35" s="2">
        <v>35.153846153846153</v>
      </c>
    </row>
    <row r="36" spans="1:21" ht="24" customHeight="1" x14ac:dyDescent="0.3">
      <c r="A36" s="8" t="s">
        <v>16</v>
      </c>
      <c r="B36" s="8" t="s">
        <v>1</v>
      </c>
      <c r="C36" s="8" t="s">
        <v>17</v>
      </c>
      <c r="D36" s="8"/>
      <c r="E36" s="8"/>
      <c r="J36" s="4" t="s">
        <v>5</v>
      </c>
      <c r="K36">
        <v>469</v>
      </c>
      <c r="N36" s="4" t="s">
        <v>74</v>
      </c>
      <c r="O36" s="2">
        <v>34.25</v>
      </c>
    </row>
    <row r="37" spans="1:21" ht="19.8" customHeight="1" x14ac:dyDescent="0.3">
      <c r="A37" s="9" t="str">
        <f>A30</f>
        <v>Not Admited</v>
      </c>
      <c r="B37" s="9">
        <f>B30</f>
        <v>252</v>
      </c>
      <c r="C37" s="10">
        <f>C30</f>
        <v>0.53731343283582089</v>
      </c>
      <c r="D37" s="9"/>
      <c r="E37" s="9"/>
      <c r="N37" s="4" t="s">
        <v>5</v>
      </c>
      <c r="O37">
        <v>35.044776119402982</v>
      </c>
    </row>
    <row r="38" spans="1:21" ht="19.8" customHeight="1" x14ac:dyDescent="0.3">
      <c r="A38" s="9" t="str">
        <f>A29</f>
        <v>Admited</v>
      </c>
      <c r="B38" s="9">
        <f>B29</f>
        <v>217</v>
      </c>
      <c r="C38" s="10">
        <f>C29</f>
        <v>0.46268656716417911</v>
      </c>
      <c r="D38" s="9"/>
      <c r="E38" s="9"/>
    </row>
    <row r="41" spans="1:21" x14ac:dyDescent="0.3">
      <c r="A41" t="s">
        <v>27</v>
      </c>
    </row>
    <row r="42" spans="1:21" x14ac:dyDescent="0.3">
      <c r="A42" s="1" t="s">
        <v>4</v>
      </c>
      <c r="B42" t="s">
        <v>26</v>
      </c>
      <c r="D42" s="1" t="s">
        <v>4</v>
      </c>
      <c r="E42" t="s">
        <v>30</v>
      </c>
    </row>
    <row r="43" spans="1:21" x14ac:dyDescent="0.3">
      <c r="A43" s="4" t="s">
        <v>18</v>
      </c>
      <c r="B43" s="6">
        <v>59</v>
      </c>
      <c r="D43" s="4" t="s">
        <v>28</v>
      </c>
      <c r="E43" s="2">
        <v>268</v>
      </c>
    </row>
    <row r="44" spans="1:21" x14ac:dyDescent="0.3">
      <c r="A44" s="4" t="s">
        <v>19</v>
      </c>
      <c r="B44" s="6">
        <v>57</v>
      </c>
      <c r="D44" s="4" t="s">
        <v>29</v>
      </c>
      <c r="E44" s="2">
        <v>201</v>
      </c>
    </row>
    <row r="45" spans="1:21" x14ac:dyDescent="0.3">
      <c r="A45" s="4" t="s">
        <v>20</v>
      </c>
      <c r="B45" s="6">
        <v>69</v>
      </c>
      <c r="D45" s="4" t="s">
        <v>5</v>
      </c>
      <c r="E45" s="2">
        <v>469</v>
      </c>
    </row>
    <row r="46" spans="1:21" x14ac:dyDescent="0.3">
      <c r="A46" s="4" t="s">
        <v>21</v>
      </c>
      <c r="B46" s="6">
        <v>62</v>
      </c>
    </row>
    <row r="47" spans="1:21" x14ac:dyDescent="0.3">
      <c r="A47" s="4" t="s">
        <v>22</v>
      </c>
      <c r="B47" s="6">
        <v>54</v>
      </c>
    </row>
    <row r="48" spans="1:21" x14ac:dyDescent="0.3">
      <c r="A48" s="4" t="s">
        <v>23</v>
      </c>
      <c r="B48" s="6">
        <v>57</v>
      </c>
    </row>
    <row r="49" spans="1:2" x14ac:dyDescent="0.3">
      <c r="A49" s="4" t="s">
        <v>24</v>
      </c>
      <c r="B49" s="6">
        <v>54</v>
      </c>
    </row>
    <row r="50" spans="1:2" x14ac:dyDescent="0.3">
      <c r="A50" s="4" t="s">
        <v>25</v>
      </c>
      <c r="B50" s="6">
        <v>57</v>
      </c>
    </row>
    <row r="51" spans="1:2" x14ac:dyDescent="0.3">
      <c r="A51" s="4" t="s">
        <v>5</v>
      </c>
      <c r="B51" s="2">
        <v>469</v>
      </c>
    </row>
    <row r="53" spans="1:2" x14ac:dyDescent="0.3">
      <c r="A53" s="4" t="s">
        <v>34</v>
      </c>
    </row>
    <row r="54" spans="1:2" x14ac:dyDescent="0.3">
      <c r="A54" s="1" t="s">
        <v>4</v>
      </c>
      <c r="B54" t="s">
        <v>33</v>
      </c>
    </row>
    <row r="55" spans="1:2" x14ac:dyDescent="0.3">
      <c r="A55" s="4" t="s">
        <v>31</v>
      </c>
      <c r="B55" s="2">
        <v>241</v>
      </c>
    </row>
    <row r="56" spans="1:2" x14ac:dyDescent="0.3">
      <c r="A56" s="4" t="s">
        <v>32</v>
      </c>
      <c r="B56" s="2">
        <v>228</v>
      </c>
    </row>
    <row r="57" spans="1:2" x14ac:dyDescent="0.3">
      <c r="A57" s="4" t="s">
        <v>5</v>
      </c>
      <c r="B57" s="2">
        <v>469</v>
      </c>
    </row>
    <row r="60" spans="1:2" x14ac:dyDescent="0.3">
      <c r="A60" s="1" t="s">
        <v>4</v>
      </c>
      <c r="B60" t="s">
        <v>43</v>
      </c>
    </row>
    <row r="61" spans="1:2" x14ac:dyDescent="0.3">
      <c r="A61" s="4" t="s">
        <v>42</v>
      </c>
      <c r="B61" s="6">
        <v>3</v>
      </c>
    </row>
    <row r="62" spans="1:2" x14ac:dyDescent="0.3">
      <c r="A62" s="4" t="s">
        <v>36</v>
      </c>
      <c r="B62" s="6">
        <v>8</v>
      </c>
    </row>
    <row r="63" spans="1:2" x14ac:dyDescent="0.3">
      <c r="A63" s="4" t="s">
        <v>38</v>
      </c>
      <c r="B63" s="6">
        <v>10</v>
      </c>
    </row>
    <row r="64" spans="1:2" x14ac:dyDescent="0.3">
      <c r="A64" s="4" t="s">
        <v>35</v>
      </c>
      <c r="B64" s="6">
        <v>13</v>
      </c>
    </row>
    <row r="65" spans="1:2" x14ac:dyDescent="0.3">
      <c r="A65" s="4" t="s">
        <v>41</v>
      </c>
      <c r="B65" s="6">
        <v>15</v>
      </c>
    </row>
    <row r="66" spans="1:2" x14ac:dyDescent="0.3">
      <c r="A66" s="4" t="s">
        <v>40</v>
      </c>
      <c r="B66" s="6">
        <v>44</v>
      </c>
    </row>
    <row r="67" spans="1:2" x14ac:dyDescent="0.3">
      <c r="A67" s="4" t="s">
        <v>37</v>
      </c>
      <c r="B67" s="6">
        <v>92</v>
      </c>
    </row>
    <row r="68" spans="1:2" x14ac:dyDescent="0.3">
      <c r="A68" s="4" t="s">
        <v>39</v>
      </c>
      <c r="B68" s="6">
        <v>284</v>
      </c>
    </row>
    <row r="69" spans="1:2" x14ac:dyDescent="0.3">
      <c r="A69" s="4" t="s">
        <v>5</v>
      </c>
      <c r="B69" s="2">
        <v>469</v>
      </c>
    </row>
    <row r="73" spans="1:2" x14ac:dyDescent="0.3">
      <c r="A73" s="1" t="s">
        <v>4</v>
      </c>
    </row>
    <row r="74" spans="1:2" x14ac:dyDescent="0.3">
      <c r="A74" s="4" t="s">
        <v>44</v>
      </c>
    </row>
    <row r="75" spans="1:2" x14ac:dyDescent="0.3">
      <c r="A75"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D9BAF-7652-46DB-986A-18504F870707}">
  <dimension ref="A1:AX312"/>
  <sheetViews>
    <sheetView zoomScaleNormal="100" workbookViewId="0">
      <selection activeCell="W8" sqref="W8"/>
    </sheetView>
  </sheetViews>
  <sheetFormatPr defaultRowHeight="14.4" x14ac:dyDescent="0.3"/>
  <sheetData>
    <row r="1" spans="1:50" x14ac:dyDescent="0.3">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0"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0"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x14ac:dyDescent="0.3">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0" x14ac:dyDescent="0.3">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0" x14ac:dyDescent="0.3">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0" x14ac:dyDescent="0.3">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row>
    <row r="8" spans="1:50" x14ac:dyDescent="0.3">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row>
    <row r="9" spans="1:50" x14ac:dyDescent="0.3">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row>
    <row r="10" spans="1:50"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row>
    <row r="11" spans="1:50"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row>
    <row r="12" spans="1:50"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row>
    <row r="13" spans="1:50"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row>
    <row r="14" spans="1:50"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row>
    <row r="15" spans="1:50"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row>
    <row r="16" spans="1:50"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row>
    <row r="17" spans="1:50"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row>
    <row r="18" spans="1:50"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row>
    <row r="19" spans="1:50"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row>
    <row r="20" spans="1:50"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row>
    <row r="21" spans="1:50"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row>
    <row r="22" spans="1:50"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row>
    <row r="23" spans="1:50"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row>
    <row r="24" spans="1:50"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row>
    <row r="25" spans="1:50"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row>
    <row r="26" spans="1:50"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row>
    <row r="27" spans="1:50"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row>
    <row r="28" spans="1:50"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row>
    <row r="29" spans="1:50"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row>
    <row r="30" spans="1:50"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row>
    <row r="31" spans="1:50"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row>
    <row r="32" spans="1:50"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row>
    <row r="33" spans="1:50"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row>
    <row r="34" spans="1:50"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row>
    <row r="35" spans="1:50"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row>
    <row r="36" spans="1:50"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row>
    <row r="37" spans="1:50"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row>
    <row r="38" spans="1:50"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row>
    <row r="39" spans="1:50"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row>
    <row r="40" spans="1:50"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row>
    <row r="41" spans="1:50"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row>
    <row r="42" spans="1:50"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row>
    <row r="43" spans="1:50"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row>
    <row r="44" spans="1:50"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row>
    <row r="45" spans="1:50"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row>
    <row r="46" spans="1:50"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row>
    <row r="47" spans="1:50"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row>
    <row r="48" spans="1:50"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row>
    <row r="49" spans="1:50"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row>
    <row r="50" spans="1:50"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row>
    <row r="51" spans="1:50"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row>
    <row r="52" spans="1:50"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row>
    <row r="53" spans="1:50"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row>
    <row r="54" spans="1:50"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row>
    <row r="55" spans="1:50"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row>
    <row r="56" spans="1:50"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row>
    <row r="57" spans="1:50"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row>
    <row r="58" spans="1:50"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row>
    <row r="59" spans="1:50"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row>
    <row r="60" spans="1:50"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row>
    <row r="61" spans="1:50"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row>
    <row r="62" spans="1:50"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row>
    <row r="63" spans="1:50"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row>
    <row r="64" spans="1:50"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row>
    <row r="65" spans="1:50"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row>
    <row r="66" spans="1:50"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row>
    <row r="67" spans="1:50"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row>
    <row r="68" spans="1:50"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row>
    <row r="69" spans="1:50"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row>
    <row r="70" spans="1:50"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row>
    <row r="71" spans="1:50"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row>
    <row r="72" spans="1:50"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row>
    <row r="73" spans="1:50"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row>
    <row r="74" spans="1:50"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row>
    <row r="75" spans="1:50"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row>
    <row r="76" spans="1:50"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row>
    <row r="77" spans="1:50"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row>
    <row r="78" spans="1:50"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row>
    <row r="79" spans="1:50"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row>
    <row r="80" spans="1:50"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row>
    <row r="81" spans="1:50"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row>
    <row r="82" spans="1:50"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row>
    <row r="83" spans="1:50"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row>
    <row r="84" spans="1:50"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row>
    <row r="85" spans="1:50"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row>
    <row r="86" spans="1:50"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row>
    <row r="87" spans="1:50"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row>
    <row r="88" spans="1:50"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row>
    <row r="89" spans="1:50"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row>
    <row r="90" spans="1:50"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row>
    <row r="91" spans="1:50"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row>
    <row r="92" spans="1:50"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row>
    <row r="93" spans="1:50"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row>
    <row r="94" spans="1:50"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row>
    <row r="95" spans="1:50"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row>
    <row r="96" spans="1:50"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row>
    <row r="97" spans="1:50"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row>
    <row r="98" spans="1:50"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row>
    <row r="99" spans="1:50"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row>
    <row r="100" spans="1:50"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row>
    <row r="101" spans="1:50"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row>
    <row r="102" spans="1:50"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row>
    <row r="103" spans="1:50"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row>
    <row r="104" spans="1:50"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row>
    <row r="105" spans="1:50"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row>
    <row r="106" spans="1:50"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row>
    <row r="107" spans="1:50"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row>
    <row r="108" spans="1:50"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row>
    <row r="109" spans="1:50"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row>
    <row r="110" spans="1:50"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row>
    <row r="111" spans="1:50"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row>
    <row r="112" spans="1:50"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row>
    <row r="113" spans="1:50"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row>
    <row r="114" spans="1:50"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row>
    <row r="115" spans="1:50"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row>
    <row r="116" spans="1:50"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row>
    <row r="117" spans="1:50"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row>
    <row r="118" spans="1:50"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row>
    <row r="119" spans="1:50"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row>
    <row r="120" spans="1:50"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row>
    <row r="121" spans="1:50"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row>
    <row r="122" spans="1:50"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row>
    <row r="123" spans="1:50"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row>
    <row r="124" spans="1:50"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row>
    <row r="125" spans="1:50"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row>
    <row r="126" spans="1:50"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row>
    <row r="127" spans="1:50"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row>
    <row r="128" spans="1:50"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row>
    <row r="129" spans="1:50"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row>
    <row r="130" spans="1:50"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row>
    <row r="131" spans="1:50"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row>
    <row r="132" spans="1:50"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row>
    <row r="133" spans="1:50"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row>
    <row r="134" spans="1:50"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row>
    <row r="135" spans="1:50"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row>
    <row r="136" spans="1:50"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row>
    <row r="137" spans="1:50"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row>
    <row r="138" spans="1:50"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row>
    <row r="139" spans="1:50"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row>
    <row r="140" spans="1:50"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row>
    <row r="141" spans="1:50"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row>
    <row r="142" spans="1:50"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row>
    <row r="143" spans="1:50"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row>
    <row r="144" spans="1:50"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row>
    <row r="145" spans="1:50"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row>
    <row r="146" spans="1:50"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row>
    <row r="147" spans="1:50"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row>
    <row r="148" spans="1:50"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row>
    <row r="149" spans="1:50"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row>
    <row r="150" spans="1:50"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row>
    <row r="151" spans="1:50"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row>
    <row r="152" spans="1:50"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row>
    <row r="153" spans="1:50"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row>
    <row r="154" spans="1:50"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row>
    <row r="155" spans="1:50"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row>
    <row r="156" spans="1:50"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row>
    <row r="157" spans="1:50"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row>
    <row r="158" spans="1:50"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row>
    <row r="159" spans="1:50"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row>
    <row r="160" spans="1:50"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row>
    <row r="161" spans="1:50"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row>
    <row r="162" spans="1:50"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row>
    <row r="163" spans="1:50"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row>
    <row r="164" spans="1:50"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row>
    <row r="165" spans="1:50"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row>
    <row r="166" spans="1:50"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row>
    <row r="167" spans="1:50"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row>
    <row r="168" spans="1:50"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row>
    <row r="169" spans="1:50"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row>
    <row r="170" spans="1:50"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row>
    <row r="171" spans="1:50"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row>
    <row r="172" spans="1:50"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row>
    <row r="173" spans="1:50"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row>
    <row r="174" spans="1:50"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row>
    <row r="175" spans="1:50"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row>
    <row r="176" spans="1:50"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row>
    <row r="177" spans="1:50"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row>
    <row r="178" spans="1:50"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row>
    <row r="179" spans="1:50"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row>
    <row r="180" spans="1:50"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row>
    <row r="181" spans="1:50"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row>
    <row r="182" spans="1:50"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row>
    <row r="183" spans="1:50"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row>
    <row r="184" spans="1:50"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row>
    <row r="185" spans="1:50"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row>
    <row r="186" spans="1:50"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row>
    <row r="187" spans="1:50"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row>
    <row r="188" spans="1:50"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row>
    <row r="189" spans="1:50"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row>
    <row r="190" spans="1:50"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row>
    <row r="191" spans="1:50"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row>
    <row r="192" spans="1:50"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row>
    <row r="193" spans="1:50"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row>
    <row r="194" spans="1:50"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row>
    <row r="195" spans="1:50"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row>
    <row r="196" spans="1:50"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row>
    <row r="197" spans="1:50"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row>
    <row r="198" spans="1:50"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row>
    <row r="199" spans="1:50"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row>
    <row r="200" spans="1:50"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row>
    <row r="201" spans="1:50"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row>
    <row r="202" spans="1:50"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row>
    <row r="203" spans="1:50"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row>
    <row r="204" spans="1:50"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row>
    <row r="205" spans="1:50"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row>
    <row r="206" spans="1:50"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row>
    <row r="207" spans="1:50"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row>
    <row r="208" spans="1:50"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row>
    <row r="209" spans="1:50"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row>
    <row r="210" spans="1:50"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row>
    <row r="211" spans="1:50"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row>
    <row r="212" spans="1:50"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row>
    <row r="213" spans="1:50"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row>
    <row r="214" spans="1:50"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row>
    <row r="215" spans="1:50"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row>
    <row r="216" spans="1:50"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row>
    <row r="217" spans="1:50"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row>
    <row r="218" spans="1:50"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row>
    <row r="219" spans="1:50"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row>
    <row r="220" spans="1:50"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row>
    <row r="221" spans="1:50"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row>
    <row r="222" spans="1:50"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row>
    <row r="223" spans="1:50"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row>
    <row r="224" spans="1:50"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row>
    <row r="225" spans="1:50"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row>
    <row r="226" spans="1:50"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row>
    <row r="227" spans="1:50"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row>
    <row r="228" spans="1:50"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row>
    <row r="229" spans="1:50"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row>
    <row r="230" spans="1:50"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row>
    <row r="231" spans="1:50"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row>
    <row r="232" spans="1:50"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row>
    <row r="233" spans="1:50"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row>
    <row r="234" spans="1:50"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row>
    <row r="235" spans="1:50"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row>
    <row r="236" spans="1:50"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row>
    <row r="237" spans="1:50"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row>
    <row r="238" spans="1:50"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row>
    <row r="239" spans="1:50"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row>
    <row r="240" spans="1:50"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row>
    <row r="241" spans="1:50"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row>
    <row r="242" spans="1:50"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row>
    <row r="243" spans="1:50"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row>
    <row r="244" spans="1:50"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row>
    <row r="245" spans="1:50"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row>
    <row r="246" spans="1:50"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row>
    <row r="247" spans="1:50"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row>
    <row r="248" spans="1:50"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row>
    <row r="249" spans="1:50"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row>
    <row r="250" spans="1:50"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row>
    <row r="251" spans="1:50"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row>
    <row r="252" spans="1:50"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row>
    <row r="253" spans="1:50"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row>
    <row r="254" spans="1:50"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row>
    <row r="255" spans="1:50"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row>
    <row r="256" spans="1:50"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row>
    <row r="257" spans="1:50"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row>
    <row r="258" spans="1:50"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row>
    <row r="259" spans="1:50"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row>
    <row r="260" spans="1:50"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row>
    <row r="261" spans="1:50"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row>
    <row r="262" spans="1:50"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row>
    <row r="263" spans="1:50"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row>
    <row r="264" spans="1:50"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row>
    <row r="265" spans="1:50"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row>
    <row r="266" spans="1:50"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row>
    <row r="267" spans="1:50"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row>
    <row r="268" spans="1:50"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row>
    <row r="269" spans="1:50"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row>
    <row r="270" spans="1:50"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row>
    <row r="271" spans="1:50"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row>
    <row r="272" spans="1:50"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row>
    <row r="273" spans="1:50"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row>
    <row r="274" spans="1:50"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row>
    <row r="275" spans="1:50"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row>
    <row r="276" spans="1:50"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row>
    <row r="277" spans="1:50"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row>
    <row r="278" spans="1:50"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row>
    <row r="279" spans="1:50"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row>
    <row r="280" spans="1:50"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row>
    <row r="281" spans="1:50"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row>
    <row r="282" spans="1:50"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row>
    <row r="283" spans="1:50"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row>
    <row r="284" spans="1:50"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row>
    <row r="285" spans="1:50"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row>
    <row r="286" spans="1:50"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row>
    <row r="287" spans="1:50"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row>
    <row r="288" spans="1:50"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row>
    <row r="289" spans="1:50"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row>
    <row r="290" spans="1:50"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row>
    <row r="291" spans="1:50"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row>
    <row r="292" spans="1:50"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row>
    <row r="293" spans="1:50"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row>
    <row r="294" spans="1:50"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row>
    <row r="295" spans="1:50"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row>
    <row r="296" spans="1:50"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row>
    <row r="297" spans="1:50"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row>
    <row r="298" spans="1:50"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row>
    <row r="299" spans="1:50"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row>
    <row r="300" spans="1:50"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row>
    <row r="301" spans="1:50"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row>
    <row r="302" spans="1:50"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row>
    <row r="303" spans="1:50"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row>
    <row r="304" spans="1:50"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row>
    <row r="305" spans="1:50"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row>
    <row r="306" spans="1:50"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row>
    <row r="307" spans="1:50"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row>
    <row r="308" spans="1:50"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row>
    <row r="309" spans="1:50"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row>
    <row r="310" spans="1:50"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row>
    <row r="311" spans="1:50"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row>
    <row r="312" spans="1:50"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95C4-DBFC-4037-A3A5-3CEEA4FAF1B3}">
  <dimension ref="A1:N28"/>
  <sheetViews>
    <sheetView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5"/>
      <c r="B21" s="5" t="s">
        <v>6</v>
      </c>
      <c r="C21" s="5"/>
      <c r="D21" s="5"/>
      <c r="E21" s="5"/>
      <c r="F21" s="5"/>
      <c r="G21" s="5"/>
      <c r="H21" s="5"/>
      <c r="I21" s="5"/>
      <c r="J21" s="5"/>
      <c r="K21" s="5"/>
      <c r="L21" s="5"/>
      <c r="M21" s="5"/>
      <c r="N21" s="5"/>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row r="25" spans="1:14" x14ac:dyDescent="0.3">
      <c r="A25" s="5"/>
      <c r="B25" s="5"/>
      <c r="C25" s="5"/>
      <c r="D25" s="5"/>
      <c r="E25" s="5"/>
      <c r="F25" s="5"/>
      <c r="G25" s="5"/>
      <c r="H25" s="5"/>
      <c r="I25" s="5"/>
      <c r="J25" s="5"/>
      <c r="K25" s="5"/>
      <c r="L25" s="5"/>
      <c r="M25" s="5"/>
      <c r="N25" s="5"/>
    </row>
    <row r="26" spans="1:14" x14ac:dyDescent="0.3">
      <c r="A26" s="5"/>
      <c r="B26" s="5"/>
      <c r="C26" s="5"/>
      <c r="D26" s="5"/>
      <c r="E26" s="5"/>
      <c r="F26" s="5"/>
      <c r="G26" s="5"/>
      <c r="H26" s="5"/>
      <c r="I26" s="5"/>
      <c r="J26" s="5"/>
      <c r="K26" s="5"/>
      <c r="L26" s="5"/>
      <c r="M26" s="5"/>
      <c r="N26" s="5"/>
    </row>
    <row r="27" spans="1:14" x14ac:dyDescent="0.3">
      <c r="A27" s="5"/>
      <c r="B27" s="5"/>
      <c r="C27" s="5"/>
      <c r="D27" s="5"/>
      <c r="E27" s="5"/>
      <c r="F27" s="5"/>
      <c r="G27" s="5"/>
      <c r="H27" s="5"/>
      <c r="I27" s="5"/>
      <c r="J27" s="5"/>
      <c r="K27" s="5"/>
      <c r="L27" s="5"/>
      <c r="M27" s="5"/>
      <c r="N27" s="5"/>
    </row>
    <row r="28" spans="1:14" x14ac:dyDescent="0.3">
      <c r="A28" s="5"/>
      <c r="B28" s="5"/>
      <c r="C28" s="5"/>
      <c r="D28" s="5"/>
      <c r="E28" s="5"/>
      <c r="F28" s="5"/>
      <c r="G28" s="5"/>
      <c r="H28" s="5"/>
      <c r="I28" s="5"/>
      <c r="J28" s="5"/>
      <c r="K28" s="5"/>
      <c r="L28" s="5"/>
      <c r="M28" s="5"/>
      <c r="N28"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C180-C037-4AE3-BE0B-C274792A9EB6}">
  <dimension ref="A1:R28"/>
  <sheetViews>
    <sheetView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t="s">
        <v>9</v>
      </c>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c r="R28"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D509A-31FD-4ACF-BE82-640D14DD5F26}">
  <dimension ref="A1:R30"/>
  <sheetViews>
    <sheetView tabSelected="1" workbookViewId="0"/>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t="s">
        <v>10</v>
      </c>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c r="R28" s="5"/>
    </row>
    <row r="29" spans="1:18" x14ac:dyDescent="0.3">
      <c r="A29" s="5"/>
      <c r="B29" s="5"/>
      <c r="C29" s="5"/>
      <c r="D29" s="5"/>
      <c r="E29" s="5"/>
      <c r="F29" s="5"/>
      <c r="G29" s="5"/>
      <c r="H29" s="5"/>
      <c r="I29" s="5"/>
      <c r="J29" s="5"/>
      <c r="K29" s="5"/>
      <c r="L29" s="5"/>
      <c r="M29" s="5"/>
      <c r="N29" s="5"/>
      <c r="O29" s="5"/>
      <c r="P29" s="5"/>
      <c r="Q29" s="5"/>
      <c r="R29" s="5"/>
    </row>
    <row r="30" spans="1:18" x14ac:dyDescent="0.3">
      <c r="A30" s="5"/>
      <c r="B30" s="5"/>
      <c r="C30" s="5"/>
      <c r="D30" s="5"/>
      <c r="E30" s="5"/>
      <c r="F30" s="5"/>
      <c r="G30" s="5"/>
      <c r="H30" s="5"/>
      <c r="I30" s="5"/>
      <c r="J30" s="5"/>
      <c r="K30" s="5"/>
      <c r="L30" s="5"/>
      <c r="M30" s="5"/>
      <c r="N30" s="5"/>
      <c r="O30" s="5"/>
      <c r="P30" s="5"/>
      <c r="Q30" s="5"/>
      <c r="R30"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0F3F2682-A4CB-4524-A120-5DA50849D328}">
  <ds:schemaRefs/>
</ds:datastoreItem>
</file>

<file path=customXml/itemProps2.xml><?xml version="1.0" encoding="utf-8"?>
<ds:datastoreItem xmlns:ds="http://schemas.openxmlformats.org/officeDocument/2006/customXml" ds:itemID="{7BFDF358-A06F-4D9E-9ADC-1C138094F568}">
  <ds:schemaRefs/>
</ds:datastoreItem>
</file>

<file path=customXml/itemProps3.xml><?xml version="1.0" encoding="utf-8"?>
<ds:datastoreItem xmlns:ds="http://schemas.openxmlformats.org/officeDocument/2006/customXml" ds:itemID="{AB160EF6-05E5-4236-818C-22E4FD33E3E1}">
  <ds:schemaRefs/>
</ds:datastoreItem>
</file>

<file path=customXml/itemProps4.xml><?xml version="1.0" encoding="utf-8"?>
<ds:datastoreItem xmlns:ds="http://schemas.openxmlformats.org/officeDocument/2006/customXml" ds:itemID="{C930F305-F1F8-46BC-BBE4-647CE4ED603C}">
  <ds:schemaRefs/>
</ds:datastoreItem>
</file>

<file path=customXml/itemProps5.xml><?xml version="1.0" encoding="utf-8"?>
<ds:datastoreItem xmlns:ds="http://schemas.openxmlformats.org/officeDocument/2006/customXml" ds:itemID="{BCE3B0D2-FD80-47EA-859C-7867DA8425BF}">
  <ds:schemaRefs/>
</ds:datastoreItem>
</file>

<file path=customXml/itemProps6.xml><?xml version="1.0" encoding="utf-8"?>
<ds:datastoreItem xmlns:ds="http://schemas.openxmlformats.org/officeDocument/2006/customXml" ds:itemID="{3BB4C54D-0440-415C-8B30-7FA5BAB1E313}">
  <ds:schemaRefs/>
</ds:datastoreItem>
</file>

<file path=customXml/itemProps7.xml><?xml version="1.0" encoding="utf-8"?>
<ds:datastoreItem xmlns:ds="http://schemas.openxmlformats.org/officeDocument/2006/customXml" ds:itemID="{E0991732-FAF4-40AE-8466-89BA736D488E}">
  <ds:schemaRefs/>
</ds:datastoreItem>
</file>

<file path=customXml/itemProps8.xml><?xml version="1.0" encoding="utf-8"?>
<ds:datastoreItem xmlns:ds="http://schemas.openxmlformats.org/officeDocument/2006/customXml" ds:itemID="{F16F46C5-A4FD-480F-9397-85F2E473534A}">
  <ds:schemaRefs/>
</ds:datastoreItem>
</file>

<file path=customXml/itemProps9.xml><?xml version="1.0" encoding="utf-8"?>
<ds:datastoreItem xmlns:ds="http://schemas.openxmlformats.org/officeDocument/2006/customXml" ds:itemID="{56181180-C196-48D8-977B-F2514DCF9BDF}">
  <ds:schemaRefs/>
</ds:datastoreItem>
</file>

<file path=customXml/itemProps10.xml><?xml version="1.0" encoding="utf-8"?>
<ds:datastoreItem xmlns:ds="http://schemas.openxmlformats.org/officeDocument/2006/customXml" ds:itemID="{2C666FE0-B9DF-4548-A231-6263143387C6}">
  <ds:schemaRefs>
    <ds:schemaRef ds:uri="http://schemas.microsoft.com/DataMashup"/>
  </ds:schemaRefs>
</ds:datastoreItem>
</file>

<file path=customXml/itemProps11.xml><?xml version="1.0" encoding="utf-8"?>
<ds:datastoreItem xmlns:ds="http://schemas.openxmlformats.org/officeDocument/2006/customXml" ds:itemID="{7266673F-67AF-40B4-A734-E5822B0175A7}">
  <ds:schemaRefs/>
</ds:datastoreItem>
</file>

<file path=customXml/itemProps12.xml><?xml version="1.0" encoding="utf-8"?>
<ds:datastoreItem xmlns:ds="http://schemas.openxmlformats.org/officeDocument/2006/customXml" ds:itemID="{C7D8242B-E659-4072-8095-92E541BB42D2}">
  <ds:schemaRefs/>
</ds:datastoreItem>
</file>

<file path=customXml/itemProps13.xml><?xml version="1.0" encoding="utf-8"?>
<ds:datastoreItem xmlns:ds="http://schemas.openxmlformats.org/officeDocument/2006/customXml" ds:itemID="{DF41F125-0927-4DCF-A7F3-83EE46F6D5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Avegrage wait time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Mark</dc:creator>
  <cp:lastModifiedBy>Vicky Mark</cp:lastModifiedBy>
  <dcterms:created xsi:type="dcterms:W3CDTF">2026-03-07T19:52:31Z</dcterms:created>
  <dcterms:modified xsi:type="dcterms:W3CDTF">2026-03-18T04:35:37Z</dcterms:modified>
</cp:coreProperties>
</file>